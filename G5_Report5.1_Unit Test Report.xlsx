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4"/>
    <sheet state="visible" name="Cover" sheetId="2" r:id="rId5"/>
    <sheet state="visible" name="Functions" sheetId="3" r:id="rId6"/>
    <sheet state="visible" name="Statistics" sheetId="4" r:id="rId7"/>
    <sheet state="visible" name="login" sheetId="5" r:id="rId8"/>
    <sheet state="visible" name="requestOTP" sheetId="6" r:id="rId9"/>
    <sheet state="visible" name="Verify OTP" sheetId="7" r:id="rId10"/>
    <sheet state="visible" name="logout" sheetId="8" r:id="rId11"/>
    <sheet state="visible" name="studentHome" sheetId="9" r:id="rId12"/>
    <sheet state="visible" name="viewFlashcard" sheetId="10" r:id="rId13"/>
    <sheet state="visible" name="submitFlashcard" sheetId="11" r:id="rId14"/>
    <sheet state="visible" name="viewLearningProgress" sheetId="12" r:id="rId15"/>
    <sheet state="visible" name="viewWeekVocabulary" sheetId="13" r:id="rId16"/>
    <sheet state="visible" name="getChapterList" sheetId="14" r:id="rId17"/>
    <sheet state="visible" name="createChapter" sheetId="15" r:id="rId18"/>
    <sheet state="visible" name="getDetailChapter" sheetId="16" r:id="rId19"/>
    <sheet state="visible" name="updateChapterDetail" sheetId="17" r:id="rId20"/>
  </sheets>
  <definedNames>
    <definedName name="ACTION">#REF!</definedName>
    <definedName localSheetId="3" name="Z_6F1DCD5D_5DAC_4817_BF40_2B66F6F593E6_.wvu.PrintArea">Statistics!$B:$J</definedName>
    <definedName localSheetId="3" name="Z_2C0D9096_8D85_462A_A9B5_0B488ADB4269_.wvu.PrintArea">Statistics!$B:$J</definedName>
    <definedName localSheetId="3" name="Z_BE54E0AD_3725_4423_92D7_4F1C045BE1BC_.wvu.PrintArea">Statistics!$B:$J</definedName>
  </definedNames>
  <calcPr/>
  <extLst>
    <ext uri="GoogleSheetsCustomDataVersion2">
      <go:sheetsCustomData xmlns:go="http://customooxmlschemas.google.com/" r:id="rId21" roundtripDataChecksum="SNo4YCp2meV8VlkEQVI24/p4mSNZnLVD3VhH3jp9BFE="/>
    </ext>
  </extLst>
</workbook>
</file>

<file path=xl/sharedStrings.xml><?xml version="1.0" encoding="utf-8"?>
<sst xmlns="http://schemas.openxmlformats.org/spreadsheetml/2006/main" count="1757" uniqueCount="379">
  <si>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</si>
  <si>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</si>
  <si>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</si>
  <si>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Cover</t>
    </r>
    <r>
      <rPr>
        <rFont val="Tahoma"/>
        <color theme="1"/>
        <sz val="10.0"/>
      </rPr>
      <t>: General information of the project and Unit Test cases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</si>
  <si>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FunctionList</t>
    </r>
    <r>
      <rPr>
        <rFont val="Tahoma"/>
        <color theme="1"/>
        <sz val="10.0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</si>
  <si>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rPr>
        <rFont val="Tahoma"/>
        <color theme="1"/>
        <sz val="10.0"/>
      </rPr>
      <t xml:space="preserve">     + Click on Function link to open the related Test cases of the function.  
     </t>
    </r>
    <r>
      <rPr>
        <rFont val="Tahoma"/>
        <i/>
        <color theme="1"/>
        <sz val="10.0"/>
      </rPr>
      <t>Note:</t>
    </r>
    <r>
      <rPr>
        <rFont val="Tahoma"/>
        <color theme="1"/>
        <sz val="10.0"/>
      </rPr>
      <t xml:space="preserve"> You should create new Function sheet before creating the link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</si>
  <si>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Test Report</t>
    </r>
    <r>
      <rPr>
        <rFont val="Tahoma"/>
        <color theme="1"/>
        <sz val="10.0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</si>
  <si>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</si>
  <si>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</si>
  <si>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</si>
  <si>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</si>
  <si>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</si>
  <si>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</si>
  <si>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</si>
  <si>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</si>
  <si>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</si>
  <si>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</si>
  <si>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</si>
  <si>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</si>
  <si>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</si>
  <si>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</si>
  <si>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</si>
  <si>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</si>
  <si>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</si>
  <si>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</si>
  <si>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</si>
  <si>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</si>
  <si>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</si>
  <si>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</si>
  <si>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</si>
  <si>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</si>
  <si>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</si>
  <si>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</si>
  <si>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</si>
  <si>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</si>
  <si>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</si>
  <si>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rPr>
        <rFont val="Tahoma"/>
        <color theme="1"/>
        <sz val="10.0"/>
      </rPr>
      <t xml:space="preserve">        - Test case result: the actual output results comparing with the Confirmation.
                 </t>
    </r>
    <r>
      <rPr>
        <rFont val="Tahoma"/>
        <b/>
        <color theme="1"/>
        <sz val="10.0"/>
      </rPr>
      <t>P</t>
    </r>
    <r>
      <rPr>
        <rFont val="Tahoma"/>
        <color theme="1"/>
        <sz val="10.0"/>
      </rPr>
      <t xml:space="preserve"> for Passed and </t>
    </r>
    <r>
      <rPr>
        <rFont val="Tahoma"/>
        <b/>
        <color theme="1"/>
        <sz val="10.0"/>
      </rPr>
      <t>F</t>
    </r>
    <r>
      <rPr>
        <rFont val="Tahoma"/>
        <color theme="1"/>
        <sz val="10.0"/>
      </rPr>
      <t xml:space="preserve"> for Failed cases.
          It can 'OK' or 'NG' (it depends on habit of the teams or customers)</t>
    </r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</si>
  <si>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</si>
  <si>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</si>
  <si>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</si>
  <si>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</si>
  <si>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</si>
  <si>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</si>
  <si>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</si>
  <si>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</si>
  <si>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</si>
  <si>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</si>
  <si>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Smart Japanese language learning app with AI.</t>
  </si>
  <si>
    <t>Creator</t>
  </si>
  <si>
    <t xml:space="preserve">ChuVV </t>
  </si>
  <si>
    <t>Project Code</t>
  </si>
  <si>
    <t>FKOTOAI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</si>
  <si>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</si>
  <si>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</si>
  <si>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</si>
  <si>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</si>
  <si>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</si>
  <si>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</si>
  <si>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</si>
  <si>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</si>
  <si>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</si>
  <si>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</si>
  <si>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A</t>
  </si>
  <si>
    <t>Create unit test document</t>
  </si>
  <si>
    <t>Function list</t>
  </si>
  <si>
    <t xml:space="preserve">Add unit tests of authentication functions </t>
  </si>
  <si>
    <t>FunctionList 1-5</t>
  </si>
  <si>
    <t xml:space="preserve">Add unit tests of account functions </t>
  </si>
  <si>
    <t>FunctionList 6, 7</t>
  </si>
  <si>
    <t>M</t>
  </si>
  <si>
    <t>Function List</t>
  </si>
  <si>
    <t xml:space="preserve">Normal number of Test cases/KLOC </t>
  </si>
  <si>
    <t>Test Environment Setup Description</t>
  </si>
  <si>
    <t>&lt;List enviroment requires in this system
1. Server
2. Database
3. Web Browser
...
&gt;</t>
  </si>
  <si>
    <t>No</t>
  </si>
  <si>
    <t>Module Name</t>
  </si>
  <si>
    <t>Method Name</t>
  </si>
  <si>
    <t>Sheet Name</t>
  </si>
  <si>
    <t>Description</t>
  </si>
  <si>
    <t>Pre-Condition</t>
  </si>
  <si>
    <t>AuthService</t>
  </si>
  <si>
    <t>login</t>
  </si>
  <si>
    <t>register</t>
  </si>
  <si>
    <t>Authenticates and logs the student into the system.</t>
  </si>
  <si>
    <t>Valid credentials are provided.</t>
  </si>
  <si>
    <t>resetPassword</t>
  </si>
  <si>
    <t>Registers a new student account and sets the initial level.</t>
  </si>
  <si>
    <t>Required information fields are provided and valid.</t>
  </si>
  <si>
    <t>logout</t>
  </si>
  <si>
    <t>verifyOTP</t>
  </si>
  <si>
    <t>forgotPassword</t>
  </si>
  <si>
    <t>Sends a password reset email to the user.</t>
  </si>
  <si>
    <t>A valid, registered email address is provided.</t>
  </si>
  <si>
    <t>UserService</t>
  </si>
  <si>
    <t>updateProfile</t>
  </si>
  <si>
    <t>Updates student's personal info, avatar, password, and target level.</t>
  </si>
  <si>
    <t>The student is authenticated and logged in.</t>
  </si>
  <si>
    <t>manageStudentAccounts</t>
  </si>
  <si>
    <t>Admin monitors accounts and locks/unlocks users suspected of abuse.</t>
  </si>
  <si>
    <t>The Admin is authenticated; the target student account exists.</t>
  </si>
  <si>
    <t>ContentService</t>
  </si>
  <si>
    <t>manageVocabChapters</t>
  </si>
  <si>
    <t>Student creates, edits, views, or deletes their vocabulary sets.</t>
  </si>
  <si>
    <t>The student is authenticated</t>
  </si>
  <si>
    <t>studyFlashcards</t>
  </si>
  <si>
    <t>Student interacts with flashcards to study vocabulary.</t>
  </si>
  <si>
    <t>The target vocabulary chapter/set exists.</t>
  </si>
  <si>
    <t>getLearningProgress</t>
  </si>
  <si>
    <t>Retrieves and displays the student's learning progress and performance.</t>
  </si>
  <si>
    <t>The student is authenticated and has learning history.</t>
  </si>
  <si>
    <t>manageVocabBank</t>
  </si>
  <si>
    <t>Admin performs CRUD or bulk imports vocabulary/Kanji via Excel.</t>
  </si>
  <si>
    <t>The Admin is authenticated; the Excel file is valid.</t>
  </si>
  <si>
    <t>manageArticles</t>
  </si>
  <si>
    <t>Admin creates, edits, deletes, and categorizes N5/N4 reading articles.</t>
  </si>
  <si>
    <t>The Admin is authenticated.</t>
  </si>
  <si>
    <t>ReadingService</t>
  </si>
  <si>
    <t>readArticles</t>
  </si>
  <si>
    <t>Student reads standardized articles with quick pop-up dictionary support.</t>
  </si>
  <si>
    <t>The student is authenticated; articles exist in the system.</t>
  </si>
  <si>
    <t>SmartLookupService</t>
  </si>
  <si>
    <t>lookupByImage</t>
  </si>
  <si>
    <t>Extracts meanings of Japanese text using mobile camera (OCR).</t>
  </si>
  <si>
    <t>A valid image is captured or uploaded</t>
  </si>
  <si>
    <t>lookupByHandwriting</t>
  </si>
  <si>
    <t>Finds meanings and stroke orders from Kanji drawn on a digital canvas.</t>
  </si>
  <si>
    <t>Handwriting stroke coordinates are provided.</t>
  </si>
  <si>
    <t>analyzeContext</t>
  </si>
  <si>
    <t>Requests LLM (AI) to analyze complex grammar and context of text.</t>
  </si>
  <si>
    <t>A specific text segment is highlighted/selected by the user.</t>
  </si>
  <si>
    <t>ExamService</t>
  </si>
  <si>
    <t>takeQuizOrExam</t>
  </si>
  <si>
    <t>Student takes topic quizzes or time-strict mock exams for auto-grading.</t>
  </si>
  <si>
    <t>The student has an active premium subscription (if required).</t>
  </si>
  <si>
    <t>triggerAIChallenge</t>
  </si>
  <si>
    <t>Generates a personalized adaptive test based on weak vocabulary.</t>
  </si>
  <si>
    <t>The student has recorded weak vocabulary data.</t>
  </si>
  <si>
    <t>manageQuestionBank</t>
  </si>
  <si>
    <t>Admin manages multiple-choice questions, media, and bulk imports.</t>
  </si>
  <si>
    <t>The Admin is authenticated; valid question data/file is provided.</t>
  </si>
  <si>
    <t>configureExamTemplate</t>
  </si>
  <si>
    <t>Admin sets up parameters (time, passing score, shuffle) for mock exams.</t>
  </si>
  <si>
    <t>MatchmakingService</t>
  </si>
  <si>
    <t>playRankMatch</t>
  </si>
  <si>
    <t>Student competes against peers in real-time vocabulary quizzes.</t>
  </si>
  <si>
    <t>The student is authenticated and in the matchmaking lobby.</t>
  </si>
  <si>
    <t>viewLeaderboard</t>
  </si>
  <si>
    <t>Displays national or weekly ranking boards based on Elo points.</t>
  </si>
  <si>
    <t>The student is authenticated.</t>
  </si>
  <si>
    <t>PaymentService</t>
  </si>
  <si>
    <t>purchaseSubscription</t>
  </si>
  <si>
    <t>Student purchases premium packages via VNPay QR code.</t>
  </si>
  <si>
    <t>A valid subscription package is selected.</t>
  </si>
  <si>
    <t>manageSubscriptions</t>
  </si>
  <si>
    <t>Admin configures pricing, duration, and status of premium packages.</t>
  </si>
  <si>
    <t>DashboardService</t>
  </si>
  <si>
    <t>viewSystemDashboard</t>
  </si>
  <si>
    <t>Admin views real-time statistics on revenue, contests, and analytics.</t>
  </si>
  <si>
    <t>UNIT TEST REPORT</t>
  </si>
  <si>
    <t>ChuVV</t>
  </si>
  <si>
    <t>Reviewer/Approver</t>
  </si>
  <si>
    <t>VietDX</t>
  </si>
  <si>
    <t>Notes</t>
  </si>
  <si>
    <t>Function code</t>
  </si>
  <si>
    <t>Passed</t>
  </si>
  <si>
    <t>Failed</t>
  </si>
  <si>
    <t>Untested</t>
  </si>
  <si>
    <t>N</t>
  </si>
  <si>
    <t>B</t>
  </si>
  <si>
    <t>Total Test Cases</t>
  </si>
  <si>
    <t>createClass</t>
  </si>
  <si>
    <t>createContest</t>
  </si>
  <si>
    <t>deleteContest</t>
  </si>
  <si>
    <t>updateContest</t>
  </si>
  <si>
    <t>getContestbyID</t>
  </si>
  <si>
    <t>getActiveContestbyID</t>
  </si>
  <si>
    <t>createFeedback</t>
  </si>
  <si>
    <t>deleteFeedback</t>
  </si>
  <si>
    <t>createStage</t>
  </si>
  <si>
    <t>updateStage</t>
  </si>
  <si>
    <t>deleteStage</t>
  </si>
  <si>
    <t>changeStageStatus</t>
  </si>
  <si>
    <t>getThreadbyID</t>
  </si>
  <si>
    <t>addThread</t>
  </si>
  <si>
    <t>updateThread</t>
  </si>
  <si>
    <t>deleteThread</t>
  </si>
  <si>
    <t>createForumClass</t>
  </si>
  <si>
    <t>createForumProject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</si>
  <si>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</si>
  <si>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</si>
  <si>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</si>
  <si>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</si>
  <si>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</si>
  <si>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</si>
  <si>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</si>
  <si>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Code Module</t>
  </si>
  <si>
    <t>UserController</t>
  </si>
  <si>
    <t>Method</t>
  </si>
  <si>
    <t>Login</t>
  </si>
  <si>
    <t>Created By</t>
  </si>
  <si>
    <t>Executed By</t>
  </si>
  <si>
    <t>Test requirement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</si>
  <si>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</si>
  <si>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</si>
  <si>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</si>
  <si>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</si>
  <si>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</si>
  <si>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</si>
  <si>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</si>
  <si>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</si>
  <si>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</si>
  <si>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</si>
  <si>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</si>
  <si>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</si>
  <si>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</si>
  <si>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</si>
  <si>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</si>
  <si>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</si>
  <si>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UTCID16</t>
  </si>
  <si>
    <t>Condition</t>
  </si>
  <si>
    <t xml:space="preserve">Precondition </t>
  </si>
  <si>
    <t>Connected to the server</t>
  </si>
  <si>
    <t>O</t>
  </si>
  <si>
    <t>email</t>
  </si>
  <si>
    <t xml:space="preserve">registed email </t>
  </si>
  <si>
    <t>nanhphuong2005@gmail.com</t>
  </si>
  <si>
    <t>emty email</t>
  </si>
  <si>
    <t xml:space="preserve">unregisted  email </t>
  </si>
  <si>
    <t>nonexistent@gmail.com</t>
  </si>
  <si>
    <t>invalid email format</t>
  </si>
  <si>
    <t>student123</t>
  </si>
  <si>
    <t>space</t>
  </si>
  <si>
    <t>password</t>
  </si>
  <si>
    <t>correct password</t>
  </si>
  <si>
    <t>anhphuong</t>
  </si>
  <si>
    <t>emty password</t>
  </si>
  <si>
    <t>short password</t>
  </si>
  <si>
    <t>incorrect password</t>
  </si>
  <si>
    <t>Confirm</t>
  </si>
  <si>
    <t>Return</t>
  </si>
  <si>
    <t>Exception</t>
  </si>
  <si>
    <t>Log message</t>
  </si>
  <si>
    <t>"Login successful"</t>
  </si>
  <si>
    <t>"The Email is required."</t>
  </si>
  <si>
    <t>" Password is required."</t>
  </si>
  <si>
    <t>"Email is invalid."</t>
  </si>
  <si>
    <t>"Student not found"</t>
  </si>
  <si>
    <t>"Unauthenticated"</t>
  </si>
  <si>
    <t>"The Password is invalid."</t>
  </si>
  <si>
    <t>Result</t>
  </si>
  <si>
    <t>Type(N : Normal, A : Abnormal, B : Boundary)</t>
  </si>
  <si>
    <t>Passed/Failed</t>
  </si>
  <si>
    <t>P</t>
  </si>
  <si>
    <t>Executed Date</t>
  </si>
  <si>
    <t>Defect ID</t>
  </si>
  <si>
    <t xml:space="preserve">unregisted email </t>
  </si>
  <si>
    <t>nonexist@gmail.com</t>
  </si>
  <si>
    <t>"OTP sent successfully"</t>
  </si>
  <si>
    <t>"Invalid email address"</t>
  </si>
  <si>
    <t>"Email cannot be empty"</t>
  </si>
  <si>
    <t>OTP</t>
  </si>
  <si>
    <t>correct OTP</t>
  </si>
  <si>
    <t>null</t>
  </si>
  <si>
    <t>incorrect OTP</t>
  </si>
  <si>
    <t>expired OTP</t>
  </si>
  <si>
    <t>non-numeric OTP</t>
  </si>
  <si>
    <t>wrong length OTP</t>
  </si>
  <si>
    <t>emty OTP</t>
  </si>
  <si>
    <t>student14@gmail.com</t>
  </si>
  <si>
    <t>student13@fpt.edu.vn</t>
  </si>
  <si>
    <t>student16@gmail.com</t>
  </si>
  <si>
    <t>with space</t>
  </si>
  <si>
    <t xml:space="preserve">admin@gmail.com    </t>
  </si>
  <si>
    <t>255 characters</t>
  </si>
  <si>
    <t>aaa.....a</t>
  </si>
  <si>
    <t>does not exists in the database</t>
  </si>
  <si>
    <t>student15@fpt.edu.vn</t>
  </si>
  <si>
    <t>"OTP verified successfully"</t>
  </si>
  <si>
    <t>"Invalid OTP"</t>
  </si>
  <si>
    <t>"OTP must be 6 numeric characters"</t>
  </si>
  <si>
    <t>"OTP cannot be empty"</t>
  </si>
  <si>
    <t>Register</t>
  </si>
  <si>
    <t>UTCID17</t>
  </si>
  <si>
    <t>UTCID18</t>
  </si>
  <si>
    <t>token</t>
  </si>
  <si>
    <t>valid token</t>
  </si>
  <si>
    <t>eyJhbGciOiJIUzUxMiJ9.eyJzdHVkZW50SUQiOjEsImlzcyI6ImNodXZ2ZGVwemFpIiwic3ViIjoibWluaGFuaEBleGFtcGxlLmNvbSIsImV4cCI6MTc4MTM2OTg2NCwiaWF0IjoxNzgxMTk3MDY0LCJqdGkiOiI5ZjJhNTUyZS01OWVhLTRiZTctYmZjMi1mZDUxOTc1NmNjMjgifQ.yWMS9Q3X3GOsYni4o5hbN2Q0vHGEwUn7tcqp0MbNGembXQvM1mjzihbWOL405Tj3oE2XXM8OrI9X0PhJtd4H7A</t>
  </si>
  <si>
    <t>expire token</t>
  </si>
  <si>
    <t>empty token</t>
  </si>
  <si>
    <t>invalid format token</t>
  </si>
  <si>
    <t>invalid-token-123</t>
  </si>
  <si>
    <t>"Logout Successfuly"</t>
  </si>
  <si>
    <t>"IUnauthenticated"</t>
  </si>
  <si>
    <t xml:space="preserve">studentId </t>
  </si>
  <si>
    <t>valid student ID</t>
  </si>
  <si>
    <t>Non-existent student ID</t>
  </si>
  <si>
    <t>Non-numeric student ID</t>
  </si>
  <si>
    <t>abc</t>
  </si>
  <si>
    <t>"success"</t>
  </si>
  <si>
    <t>"Old password is required"</t>
  </si>
  <si>
    <t>"This exception is undedefined"</t>
  </si>
  <si>
    <t>UTCID19</t>
  </si>
  <si>
    <t>UTCID20</t>
  </si>
  <si>
    <t>UTCID21</t>
  </si>
  <si>
    <t>chapterID</t>
  </si>
  <si>
    <t>Valid chapter ID</t>
  </si>
  <si>
    <t>Non-existent chapter ID</t>
  </si>
  <si>
    <t>Non-numeric chapter ID</t>
  </si>
  <si>
    <t>Empty chapter id</t>
  </si>
  <si>
    <t>studentID</t>
  </si>
  <si>
    <t>Valid student ID</t>
  </si>
  <si>
    <t>empty student ID</t>
  </si>
  <si>
    <t>"Flashcards retrieved successfully"</t>
  </si>
  <si>
    <t>"This exception is undedefined" (blank array)</t>
  </si>
  <si>
    <t>studentId</t>
  </si>
  <si>
    <t>non-exist student ID</t>
  </si>
  <si>
    <t>null student Id</t>
  </si>
  <si>
    <t>vocabId</t>
  </si>
  <si>
    <t>Valid ID belonging to Chapter 2</t>
  </si>
  <si>
    <t>null vocadId</t>
  </si>
  <si>
    <t>chapterId</t>
  </si>
  <si>
    <t>Valid Chapter ID</t>
  </si>
  <si>
    <t>null chapterID</t>
  </si>
  <si>
    <t>"Valid Chapter ID, but Vocab 4 is not in Chapter 3."</t>
  </si>
  <si>
    <t>isMastered</t>
  </si>
  <si>
    <t>null isMastered</t>
  </si>
  <si>
    <t>"Flashcard review submitted successfully"</t>
  </si>
  <si>
    <t>"Vocabulary ID must not be null"</t>
  </si>
  <si>
    <t>"Chapter ID must not be null"</t>
  </si>
  <si>
    <t>"Review result (isMastered) must not be null"</t>
  </si>
  <si>
    <t>"Vocabulary does not belong to this chapter"</t>
  </si>
  <si>
    <t>ProjectService</t>
  </si>
  <si>
    <t>Valid student ID(with no progress history)</t>
  </si>
  <si>
    <t>non-exist studentID</t>
  </si>
  <si>
    <t>null studentID</t>
  </si>
  <si>
    <t>non-numeric studentID</t>
  </si>
  <si>
    <t>"Learning progress retrieved successfully"</t>
  </si>
  <si>
    <t>"Learning progress retrieved successfully" (white page)</t>
  </si>
  <si>
    <t>limit</t>
  </si>
  <si>
    <t>numeric</t>
  </si>
  <si>
    <t>non-numeric</t>
  </si>
  <si>
    <t>"Weak vocabulary retrieved successfully"</t>
  </si>
  <si>
    <t>"System chapters retrieved successfully"</t>
  </si>
  <si>
    <t>"My chapters retrieved successfully"</t>
  </si>
  <si>
    <t>invalid student id</t>
  </si>
  <si>
    <t>chapterName</t>
  </si>
  <si>
    <t>Valid name</t>
  </si>
  <si>
    <t>Custom Chapter 1</t>
  </si>
  <si>
    <t>blank</t>
  </si>
  <si>
    <t>&gt;100 characters</t>
  </si>
  <si>
    <t>aaaa.....aaaaaa</t>
  </si>
  <si>
    <t>level</t>
  </si>
  <si>
    <t>Valid level</t>
  </si>
  <si>
    <t>N5</t>
  </si>
  <si>
    <t>orderIndex</t>
  </si>
  <si>
    <t>Valid integer index</t>
  </si>
  <si>
    <t>description</t>
  </si>
  <si>
    <t>valid description</t>
  </si>
  <si>
    <t>Practice vocabulary</t>
  </si>
  <si>
    <t>"Chapter created successfully"</t>
  </si>
  <si>
    <t>"Chapter name must not be blank"</t>
  </si>
  <si>
    <t>"Chapter name must not exceed 100 characters"</t>
  </si>
  <si>
    <t>"Japanese level is required"</t>
  </si>
  <si>
    <t>"Order index must not be null"</t>
  </si>
  <si>
    <t xml:space="preserve"> Different valid student ID</t>
  </si>
  <si>
    <t>Valid system chapter  ID</t>
  </si>
  <si>
    <t>Valid custom chapter ID belonging to Student 1</t>
  </si>
  <si>
    <t>"Chapter retrieved successfully"</t>
  </si>
  <si>
    <t>"Vocabulary chapter not found"</t>
  </si>
  <si>
    <t>"You do not have permission to access this chapter"</t>
  </si>
  <si>
    <t>chaptername</t>
  </si>
  <si>
    <t>Update name</t>
  </si>
  <si>
    <t>aaaa......aaaaa</t>
  </si>
  <si>
    <t>order index</t>
  </si>
  <si>
    <t>"Project deleted successfully"</t>
  </si>
  <si>
    <t>"Project ID is required"</t>
  </si>
  <si>
    <t>"Project not found"</t>
  </si>
  <si>
    <t>"Invalid project ID format"</t>
  </si>
  <si>
    <t>"Published project cannot be deleted"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</si>
</sst>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#,##0.0"/>
    <numFmt numFmtId="166" formatCode="d\-mmm\-yy"/>
    <numFmt numFmtId="167" formatCode="D/M/YYYY"/>
    <numFmt numFmtId="168" formatCode="mm/dd"/>
  </numFmts>
  <fonts count="36">
    <font>
      <sz val="11.0"/>
      <color rgb="FF000000"/>
      <name val="MS PGothic"/>
      <scheme val="minor"/>
    </font>
    <font>
      <b/>
      <sz val="18.0"/>
      <color theme="1"/>
      <name val="Tahoma"/>
    </font>
    <font>
      <b/>
      <sz val="11.0"/>
      <color theme="1"/>
      <name val="Tahoma"/>
    </font>
    <font>
      <b/>
      <sz val="12.0"/>
      <color theme="1"/>
      <name val="Tahoma"/>
    </font>
    <font>
      <b/>
      <sz val="14.0"/>
      <color theme="1"/>
      <name val="Tahoma"/>
    </font>
    <font>
      <sz val="10.0"/>
      <color theme="1"/>
      <name val="Tahoma"/>
    </font>
    <font>
      <sz val="11.0"/>
      <color theme="1"/>
      <name val="Tahoma"/>
    </font>
    <font>
      <i/>
      <sz val="10.0"/>
      <color theme="1"/>
      <name val="Tahoma"/>
    </font>
    <font>
      <i/>
      <sz val="11.0"/>
      <color theme="1"/>
      <name val="Tahoma"/>
    </font>
    <font>
      <b/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color theme="1"/>
      <name val="Tahoma"/>
    </font>
    <font>
      <color rgb="FF000000"/>
      <name val="Tahoma"/>
    </font>
    <font>
      <color rgb="FF000000"/>
      <name val="Arial"/>
    </font>
    <font>
      <b/>
      <sz val="10.0"/>
      <color rgb="FF000000"/>
      <name val="Tahoma"/>
    </font>
    <font>
      <b/>
      <sz val="10.0"/>
      <color rgb="FFFF0000"/>
      <name val="Tahoma"/>
    </font>
    <font>
      <b/>
      <color rgb="FFFFFFFF"/>
      <name val="Tahoma"/>
    </font>
    <font>
      <u/>
      <color rgb="FF0000FF"/>
      <name val="Tahoma"/>
    </font>
    <font>
      <u/>
      <sz val="11.0"/>
      <color rgb="FF0000FF"/>
      <name val="Tahoma"/>
    </font>
    <font>
      <sz val="10.0"/>
      <color rgb="FFFFFFFF"/>
      <name val="Tahoma"/>
    </font>
    <font>
      <b/>
      <sz val="11.0"/>
      <color rgb="FFFFFFFF"/>
      <name val="Tahoma"/>
    </font>
    <font>
      <sz val="10.0"/>
      <color rgb="FF000000"/>
      <name val="Tahoma"/>
    </font>
    <font>
      <b/>
      <sz val="8.0"/>
      <color theme="1"/>
      <name val="Tahoma"/>
    </font>
    <font>
      <i/>
      <sz val="8.0"/>
      <color theme="1"/>
      <name val="Tahoma"/>
    </font>
    <font>
      <sz val="8.0"/>
      <color theme="1"/>
      <name val="Tahoma"/>
    </font>
    <font>
      <sz val="11.0"/>
      <color theme="1"/>
      <name val="MS PGothic"/>
    </font>
    <font>
      <b/>
      <sz val="8.0"/>
      <color rgb="FFFFFFFF"/>
      <name val="Tahoma"/>
    </font>
    <font>
      <b/>
      <sz val="8.0"/>
      <color rgb="FF000000"/>
      <name val="Tahoma"/>
    </font>
    <font>
      <sz val="8.0"/>
      <color rgb="FF000000"/>
      <name val="Tahoma"/>
    </font>
    <font>
      <sz val="8.0"/>
      <color theme="1"/>
      <name val="Courier New"/>
    </font>
    <font>
      <sz val="12.0"/>
      <color theme="1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</fills>
  <borders count="97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top style="dotted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dotted">
        <color rgb="FF000000"/>
      </left>
      <right style="hair">
        <color rgb="FF000000"/>
      </right>
      <bottom style="dotted">
        <color rgb="FF000000"/>
      </bottom>
    </border>
    <border>
      <left style="dotted">
        <color rgb="FF000000"/>
      </left>
      <right style="hair">
        <color rgb="FF000000"/>
      </right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/>
      <top/>
    </border>
    <border>
      <left/>
      <right/>
      <top/>
    </border>
    <border>
      <left style="hair">
        <color rgb="FF000000"/>
      </left>
      <right style="hair">
        <color rgb="FF000000"/>
      </right>
    </border>
    <border>
      <right/>
      <bottom/>
    </border>
    <border>
      <left/>
      <right/>
      <bottom/>
    </border>
    <border>
      <right/>
      <top/>
      <bottom/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double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uble">
        <color rgb="FF000000"/>
      </left>
      <top/>
      <bottom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4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left" shrinkToFit="0" vertical="bottom" wrapText="0"/>
    </xf>
    <xf borderId="1" fillId="2" fontId="6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left" shrinkToFit="0" vertical="bottom" wrapText="1"/>
    </xf>
    <xf borderId="1" fillId="2" fontId="7" numFmtId="0" xfId="0" applyAlignment="1" applyBorder="1" applyFont="1">
      <alignment horizontal="left" shrinkToFit="0" vertical="bottom" wrapText="0"/>
    </xf>
    <xf borderId="1" fillId="2" fontId="8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shrinkToFit="0" vertical="center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2" fillId="0" fontId="10" numFmtId="0" xfId="0" applyAlignment="1" applyBorder="1" applyFont="1">
      <alignment horizontal="center" shrinkToFit="0" vertical="center" wrapText="0"/>
    </xf>
    <xf borderId="2" fillId="0" fontId="11" numFmtId="0" xfId="0" applyAlignment="1" applyBorder="1" applyFont="1">
      <alignment horizontal="center" shrinkToFit="0" vertical="center" wrapText="0"/>
    </xf>
    <xf borderId="3" fillId="0" fontId="12" numFmtId="0" xfId="0" applyAlignment="1" applyBorder="1" applyFont="1">
      <alignment vertical="center"/>
    </xf>
    <xf borderId="4" fillId="0" fontId="12" numFmtId="0" xfId="0" applyAlignment="1" applyBorder="1" applyFont="1">
      <alignment vertical="center"/>
    </xf>
    <xf borderId="0" fillId="0" fontId="5" numFmtId="0" xfId="0" applyAlignment="1" applyFont="1">
      <alignment horizontal="center" shrinkToFit="0" vertical="center" wrapText="0"/>
    </xf>
    <xf borderId="1" fillId="3" fontId="13" numFmtId="0" xfId="0" applyAlignment="1" applyBorder="1" applyFill="1" applyFont="1">
      <alignment horizontal="left" shrinkToFit="0" vertical="bottom" wrapText="0"/>
    </xf>
    <xf borderId="0" fillId="0" fontId="14" numFmtId="0" xfId="0" applyAlignment="1" applyFont="1">
      <alignment horizontal="left" shrinkToFit="0" vertical="bottom" wrapText="0"/>
    </xf>
    <xf borderId="1" fillId="3" fontId="5" numFmtId="0" xfId="0" applyAlignment="1" applyBorder="1" applyFont="1">
      <alignment shrinkToFit="0" vertical="bottom" wrapText="0"/>
    </xf>
    <xf borderId="5" fillId="3" fontId="9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horizontal="left" readingOrder="0" shrinkToFit="0" vertical="bottom" wrapText="1"/>
    </xf>
    <xf borderId="4" fillId="0" fontId="5" numFmtId="0" xfId="0" applyAlignment="1" applyBorder="1" applyFont="1">
      <alignment readingOrder="0" shrinkToFit="0" vertical="bottom" wrapText="0"/>
    </xf>
    <xf borderId="2" fillId="0" fontId="7" numFmtId="0" xfId="0" applyAlignment="1" applyBorder="1" applyFont="1">
      <alignment horizontal="left" readingOrder="0" shrinkToFit="0" vertical="bottom" wrapText="0"/>
    </xf>
    <xf borderId="4" fillId="0" fontId="7" numFmtId="164" xfId="0" applyAlignment="1" applyBorder="1" applyFont="1" applyNumberFormat="1">
      <alignment horizontal="left" readingOrder="0" shrinkToFit="0" vertical="bottom" wrapText="0"/>
    </xf>
    <xf borderId="5" fillId="3" fontId="9" numFmtId="0" xfId="0" applyAlignment="1" applyBorder="1" applyFont="1">
      <alignment shrinkToFit="0" vertical="center" wrapText="0"/>
    </xf>
    <xf borderId="2" fillId="0" fontId="7" numFmtId="0" xfId="0" applyAlignment="1" applyBorder="1" applyFont="1">
      <alignment horizontal="left" shrinkToFit="0" vertical="center" wrapText="0"/>
    </xf>
    <xf borderId="4" fillId="0" fontId="7" numFmtId="165" xfId="0" applyAlignment="1" applyBorder="1" applyFont="1" applyNumberFormat="1">
      <alignment horizontal="left" shrinkToFit="0" vertical="bottom" wrapText="0"/>
    </xf>
    <xf borderId="0" fillId="0" fontId="9" numFmtId="0" xfId="0" applyAlignment="1" applyFont="1">
      <alignment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left" shrinkToFit="0" vertical="bottom" wrapText="0"/>
    </xf>
    <xf borderId="6" fillId="4" fontId="15" numFmtId="166" xfId="0" applyAlignment="1" applyBorder="1" applyFill="1" applyFont="1" applyNumberFormat="1">
      <alignment horizontal="center" shrinkToFit="0" vertical="center" wrapText="0"/>
    </xf>
    <xf borderId="7" fillId="4" fontId="15" numFmtId="0" xfId="0" applyAlignment="1" applyBorder="1" applyFont="1">
      <alignment horizontal="center" shrinkToFit="0" vertical="center" wrapText="0"/>
    </xf>
    <xf borderId="8" fillId="4" fontId="1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9" fillId="0" fontId="8" numFmtId="164" xfId="0" applyAlignment="1" applyBorder="1" applyFont="1" applyNumberFormat="1">
      <alignment horizontal="center" readingOrder="0" shrinkToFit="0" vertical="center" wrapText="1"/>
    </xf>
    <xf borderId="10" fillId="0" fontId="16" numFmtId="49" xfId="0" applyAlignment="1" applyBorder="1" applyFont="1" applyNumberFormat="1">
      <alignment horizontal="center" vertical="center"/>
    </xf>
    <xf borderId="11" fillId="0" fontId="16" numFmtId="0" xfId="0" applyAlignment="1" applyBorder="1" applyFont="1">
      <alignment horizontal="center" vertical="top"/>
    </xf>
    <xf borderId="7" fillId="0" fontId="17" numFmtId="0" xfId="0" applyAlignment="1" applyBorder="1" applyFont="1">
      <alignment horizontal="center" shrinkToFit="0" vertical="center" wrapText="0"/>
    </xf>
    <xf borderId="12" fillId="0" fontId="18" numFmtId="0" xfId="0" applyAlignment="1" applyBorder="1" applyFont="1">
      <alignment horizontal="left" shrinkToFit="0" vertical="center" wrapText="0"/>
    </xf>
    <xf borderId="13" fillId="0" fontId="7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0"/>
    </xf>
    <xf borderId="10" fillId="0" fontId="17" numFmtId="0" xfId="0" applyAlignment="1" applyBorder="1" applyFont="1">
      <alignment shrinkToFit="0" vertical="center" wrapText="0"/>
    </xf>
    <xf borderId="10" fillId="0" fontId="16" numFmtId="0" xfId="0" applyAlignment="1" applyBorder="1" applyFont="1">
      <alignment horizontal="center" vertical="top"/>
    </xf>
    <xf borderId="10" fillId="0" fontId="16" numFmtId="0" xfId="0" applyAlignment="1" applyBorder="1" applyFont="1">
      <alignment horizontal="left" vertical="center"/>
    </xf>
    <xf borderId="5" fillId="0" fontId="17" numFmtId="0" xfId="0" applyAlignment="1" applyBorder="1" applyFont="1">
      <alignment vertical="center"/>
    </xf>
    <xf borderId="1" fillId="3" fontId="5" numFmtId="1" xfId="0" applyAlignment="1" applyBorder="1" applyFont="1" applyNumberFormat="1">
      <alignment shrinkToFit="0" vertical="bottom" wrapText="0"/>
    </xf>
    <xf borderId="1" fillId="3" fontId="5" numFmtId="0" xfId="0" applyAlignment="1" applyBorder="1" applyFont="1">
      <alignment horizontal="left" shrinkToFit="0" vertical="bottom" wrapText="0"/>
    </xf>
    <xf borderId="1" fillId="3" fontId="5" numFmtId="0" xfId="0" applyAlignment="1" applyBorder="1" applyFont="1">
      <alignment horizontal="left" shrinkToFit="0" vertical="bottom" wrapText="1"/>
    </xf>
    <xf borderId="1" fillId="3" fontId="11" numFmtId="0" xfId="0" applyAlignment="1" applyBorder="1" applyFont="1">
      <alignment horizontal="left" shrinkToFit="0" vertical="bottom" wrapText="0"/>
    </xf>
    <xf borderId="1" fillId="3" fontId="19" numFmtId="0" xfId="0" applyAlignment="1" applyBorder="1" applyFont="1">
      <alignment horizontal="left" shrinkToFit="0" vertical="bottom" wrapText="0"/>
    </xf>
    <xf borderId="1" fillId="3" fontId="20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shrinkToFit="0" vertical="bottom" wrapText="0"/>
    </xf>
    <xf borderId="2" fillId="3" fontId="7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horizontal="left" shrinkToFit="0" vertical="bottom" wrapText="0"/>
    </xf>
    <xf borderId="14" fillId="3" fontId="7" numFmtId="0" xfId="0" applyAlignment="1" applyBorder="1" applyFont="1">
      <alignment horizontal="left" shrinkToFit="0" vertical="bottom" wrapText="0"/>
    </xf>
    <xf borderId="15" fillId="3" fontId="7" numFmtId="0" xfId="0" applyAlignment="1" applyBorder="1" applyFont="1">
      <alignment horizontal="left" shrinkToFit="0" vertical="bottom" wrapText="0"/>
    </xf>
    <xf borderId="16" fillId="3" fontId="7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shrinkToFit="0" vertical="center" wrapText="1"/>
    </xf>
    <xf borderId="2" fillId="3" fontId="7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shrinkToFit="0" vertical="bottom" wrapText="1"/>
    </xf>
    <xf borderId="1" fillId="3" fontId="13" numFmtId="1" xfId="0" applyAlignment="1" applyBorder="1" applyFont="1" applyNumberFormat="1">
      <alignment shrinkToFit="0" vertical="bottom" wrapText="0"/>
    </xf>
    <xf borderId="1" fillId="3" fontId="5" numFmtId="1" xfId="0" applyAlignment="1" applyBorder="1" applyFont="1" applyNumberForma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" fillId="3" fontId="5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shrinkToFit="0" vertical="center" wrapText="0"/>
    </xf>
    <xf borderId="6" fillId="5" fontId="15" numFmtId="1" xfId="0" applyAlignment="1" applyBorder="1" applyFill="1" applyFont="1" applyNumberFormat="1">
      <alignment horizontal="center" shrinkToFit="0" vertical="center" wrapText="0"/>
    </xf>
    <xf borderId="17" fillId="5" fontId="21" numFmtId="1" xfId="0" applyAlignment="1" applyBorder="1" applyFont="1" applyNumberFormat="1">
      <alignment horizontal="center" vertical="center"/>
    </xf>
    <xf borderId="7" fillId="5" fontId="21" numFmtId="1" xfId="0" applyAlignment="1" applyBorder="1" applyFont="1" applyNumberFormat="1">
      <alignment horizontal="center" shrinkToFit="0" vertical="center" wrapText="1"/>
    </xf>
    <xf borderId="7" fillId="5" fontId="21" numFmtId="0" xfId="0" applyAlignment="1" applyBorder="1" applyFont="1">
      <alignment horizontal="center" vertical="center"/>
    </xf>
    <xf borderId="18" fillId="5" fontId="21" numFmtId="0" xfId="0" applyAlignment="1" applyBorder="1" applyFont="1">
      <alignment horizontal="center" vertical="center"/>
    </xf>
    <xf borderId="8" fillId="5" fontId="21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shrinkToFit="0" vertical="bottom" wrapText="0"/>
    </xf>
    <xf borderId="9" fillId="3" fontId="5" numFmtId="1" xfId="0" applyAlignment="1" applyBorder="1" applyFont="1" applyNumberFormat="1">
      <alignment horizontal="center" shrinkToFit="0" vertical="center" wrapText="0"/>
    </xf>
    <xf borderId="19" fillId="3" fontId="2" numFmtId="1" xfId="0" applyAlignment="1" applyBorder="1" applyFont="1" applyNumberFormat="1">
      <alignment horizontal="center" vertical="center"/>
    </xf>
    <xf borderId="20" fillId="3" fontId="16" numFmtId="49" xfId="0" applyAlignment="1" applyBorder="1" applyFont="1" applyNumberFormat="1">
      <alignment readingOrder="0" shrinkToFit="0" vertical="center" wrapText="1"/>
    </xf>
    <xf borderId="10" fillId="3" fontId="22" numFmtId="49" xfId="0" applyAlignment="1" applyBorder="1" applyFont="1" applyNumberFormat="1">
      <alignment shrinkToFit="0" vertical="center" wrapText="1"/>
    </xf>
    <xf borderId="21" fillId="3" fontId="16" numFmtId="49" xfId="0" applyAlignment="1" applyBorder="1" applyFont="1" applyNumberFormat="1">
      <alignment readingOrder="0" vertical="center"/>
    </xf>
    <xf borderId="22" fillId="3" fontId="16" numFmtId="0" xfId="0" applyAlignment="1" applyBorder="1" applyFont="1">
      <alignment readingOrder="0" shrinkToFit="0" vertical="center" wrapText="1"/>
    </xf>
    <xf borderId="23" fillId="0" fontId="12" numFmtId="0" xfId="0" applyAlignment="1" applyBorder="1" applyFont="1">
      <alignment vertical="center"/>
    </xf>
    <xf borderId="10" fillId="3" fontId="16" numFmtId="49" xfId="0" applyAlignment="1" applyBorder="1" applyFont="1" applyNumberFormat="1">
      <alignment shrinkToFit="0" vertical="center" wrapText="1"/>
    </xf>
    <xf borderId="24" fillId="3" fontId="16" numFmtId="0" xfId="0" applyAlignment="1" applyBorder="1" applyFont="1">
      <alignment readingOrder="0" shrinkToFit="0" vertical="center" wrapText="1"/>
    </xf>
    <xf borderId="9" fillId="3" fontId="5" numFmtId="1" xfId="0" applyAlignment="1" applyBorder="1" applyFont="1" applyNumberFormat="1">
      <alignment horizontal="center" readingOrder="0" shrinkToFit="0" vertical="center" wrapText="0"/>
    </xf>
    <xf borderId="25" fillId="0" fontId="12" numFmtId="0" xfId="0" applyAlignment="1" applyBorder="1" applyFont="1">
      <alignment vertical="center"/>
    </xf>
    <xf borderId="21" fillId="3" fontId="16" numFmtId="49" xfId="0" applyAlignment="1" applyBorder="1" applyFont="1" applyNumberFormat="1">
      <alignment vertical="center"/>
    </xf>
    <xf borderId="24" fillId="3" fontId="16" numFmtId="0" xfId="0" applyAlignment="1" applyBorder="1" applyFont="1">
      <alignment readingOrder="0" vertical="center"/>
    </xf>
    <xf borderId="22" fillId="3" fontId="16" numFmtId="0" xfId="0" applyAlignment="1" applyBorder="1" applyFont="1">
      <alignment readingOrder="0" vertical="center"/>
    </xf>
    <xf borderId="26" fillId="0" fontId="12" numFmtId="0" xfId="0" applyAlignment="1" applyBorder="1" applyFont="1">
      <alignment vertical="center"/>
    </xf>
    <xf borderId="10" fillId="3" fontId="6" numFmtId="49" xfId="0" applyAlignment="1" applyBorder="1" applyFont="1" applyNumberFormat="1">
      <alignment readingOrder="0" vertical="center"/>
    </xf>
    <xf borderId="10" fillId="3" fontId="6" numFmtId="49" xfId="0" applyAlignment="1" applyBorder="1" applyFont="1" applyNumberFormat="1">
      <alignment shrinkToFit="0" vertical="center" wrapText="1"/>
    </xf>
    <xf borderId="27" fillId="3" fontId="2" numFmtId="1" xfId="0" applyAlignment="1" applyBorder="1" applyFont="1" applyNumberFormat="1">
      <alignment horizontal="center" readingOrder="0" vertical="center"/>
    </xf>
    <xf borderId="28" fillId="3" fontId="6" numFmtId="1" xfId="0" applyAlignment="1" applyBorder="1" applyFont="1" applyNumberFormat="1">
      <alignment readingOrder="0" shrinkToFit="0" vertical="center" wrapText="0"/>
    </xf>
    <xf borderId="10" fillId="3" fontId="6" numFmtId="49" xfId="0" applyAlignment="1" applyBorder="1" applyFont="1" applyNumberFormat="1">
      <alignment horizontal="left" readingOrder="0" shrinkToFit="0" vertical="center" wrapText="1"/>
    </xf>
    <xf borderId="22" fillId="3" fontId="6" numFmtId="0" xfId="0" applyAlignment="1" applyBorder="1" applyFont="1">
      <alignment readingOrder="0" vertical="center"/>
    </xf>
    <xf borderId="29" fillId="0" fontId="12" numFmtId="0" xfId="0" applyAlignment="1" applyBorder="1" applyFont="1">
      <alignment vertical="center"/>
    </xf>
    <xf borderId="30" fillId="3" fontId="5" numFmtId="1" xfId="0" applyAlignment="1" applyBorder="1" applyFont="1" applyNumberFormat="1">
      <alignment horizontal="center" shrinkToFit="0" vertical="center" wrapText="0"/>
    </xf>
    <xf borderId="10" fillId="3" fontId="2" numFmtId="1" xfId="0" applyAlignment="1" applyBorder="1" applyFont="1" applyNumberFormat="1">
      <alignment horizontal="center" readingOrder="0" vertical="center"/>
    </xf>
    <xf borderId="20" fillId="3" fontId="6" numFmtId="1" xfId="0" applyAlignment="1" applyBorder="1" applyFont="1" applyNumberFormat="1">
      <alignment readingOrder="0" shrinkToFit="0" vertical="center" wrapText="0"/>
    </xf>
    <xf borderId="31" fillId="3" fontId="5" numFmtId="0" xfId="0" applyAlignment="1" applyBorder="1" applyFont="1">
      <alignment horizontal="left" shrinkToFit="0" vertical="center" wrapText="0"/>
    </xf>
    <xf borderId="32" fillId="3" fontId="5" numFmtId="0" xfId="0" applyAlignment="1" applyBorder="1" applyFont="1">
      <alignment horizontal="left" shrinkToFit="0" vertical="center" wrapText="0"/>
    </xf>
    <xf borderId="32" fillId="3" fontId="5" numFmtId="0" xfId="0" applyAlignment="1" applyBorder="1" applyFont="1">
      <alignment shrinkToFit="0" vertical="bottom" wrapText="0"/>
    </xf>
    <xf borderId="30" fillId="3" fontId="5" numFmtId="1" xfId="0" applyAlignment="1" applyBorder="1" applyFont="1" applyNumberFormat="1">
      <alignment horizontal="center" readingOrder="0" shrinkToFit="0" vertical="center" wrapText="0"/>
    </xf>
    <xf borderId="21" fillId="3" fontId="2" numFmtId="1" xfId="0" applyAlignment="1" applyBorder="1" applyFont="1" applyNumberFormat="1">
      <alignment horizontal="center" readingOrder="0" vertical="center"/>
    </xf>
    <xf borderId="10" fillId="3" fontId="6" numFmtId="1" xfId="0" applyAlignment="1" applyBorder="1" applyFont="1" applyNumberFormat="1">
      <alignment readingOrder="0" shrinkToFit="0" vertical="center" wrapText="0"/>
    </xf>
    <xf borderId="10" fillId="3" fontId="16" numFmtId="0" xfId="0" applyAlignment="1" applyBorder="1" applyFont="1">
      <alignment readingOrder="0" vertical="center"/>
    </xf>
    <xf borderId="10" fillId="3" fontId="5" numFmtId="0" xfId="0" applyAlignment="1" applyBorder="1" applyFont="1">
      <alignment horizontal="left" shrinkToFit="0" vertical="center" wrapText="0"/>
    </xf>
    <xf borderId="10" fillId="3" fontId="5" numFmtId="0" xfId="0" applyAlignment="1" applyBorder="1" applyFont="1">
      <alignment shrinkToFit="0" vertical="bottom" wrapText="0"/>
    </xf>
    <xf borderId="33" fillId="0" fontId="12" numFmtId="0" xfId="0" applyAlignment="1" applyBorder="1" applyFont="1">
      <alignment vertical="center"/>
    </xf>
    <xf borderId="11" fillId="0" fontId="12" numFmtId="0" xfId="0" applyAlignment="1" applyBorder="1" applyFont="1">
      <alignment vertical="center"/>
    </xf>
    <xf borderId="10" fillId="3" fontId="6" numFmtId="1" xfId="0" applyAlignment="1" applyBorder="1" applyFont="1" applyNumberFormat="1">
      <alignment shrinkToFit="0" vertical="center" wrapText="0"/>
    </xf>
    <xf borderId="10" fillId="3" fontId="6" numFmtId="49" xfId="0" applyAlignment="1" applyBorder="1" applyFont="1" applyNumberFormat="1">
      <alignment horizontal="left" shrinkToFit="0" vertical="center" wrapText="1"/>
    </xf>
    <xf borderId="0" fillId="3" fontId="5" numFmtId="1" xfId="0" applyAlignment="1" applyFont="1" applyNumberFormat="1">
      <alignment horizontal="center" shrinkToFit="0" vertical="center" wrapText="0"/>
    </xf>
    <xf borderId="0" fillId="3" fontId="2" numFmtId="1" xfId="0" applyAlignment="1" applyFont="1" applyNumberFormat="1">
      <alignment horizontal="center" vertical="center"/>
    </xf>
    <xf borderId="0" fillId="3" fontId="6" numFmtId="1" xfId="0" applyAlignment="1" applyFont="1" applyNumberFormat="1">
      <alignment shrinkToFit="0" vertical="center" wrapText="0"/>
    </xf>
    <xf borderId="0" fillId="3" fontId="6" numFmtId="49" xfId="0" applyAlignment="1" applyFont="1" applyNumberFormat="1">
      <alignment shrinkToFit="0" vertical="center" wrapText="1"/>
    </xf>
    <xf borderId="0" fillId="3" fontId="5" numFmtId="49" xfId="0" applyAlignment="1" applyFont="1" applyNumberFormat="1">
      <alignment horizontal="left" shrinkToFit="0" vertical="center" wrapText="1"/>
    </xf>
    <xf borderId="0" fillId="3" fontId="6" numFmtId="49" xfId="0" applyAlignment="1" applyFont="1" applyNumberFormat="1">
      <alignment horizontal="left" shrinkToFit="0" vertical="center" wrapText="1"/>
    </xf>
    <xf borderId="34" fillId="3" fontId="5" numFmtId="0" xfId="0" applyAlignment="1" applyBorder="1" applyFont="1">
      <alignment horizontal="left" shrinkToFit="0" vertical="center" wrapText="0"/>
    </xf>
    <xf borderId="35" fillId="3" fontId="5" numFmtId="0" xfId="0" applyAlignment="1" applyBorder="1" applyFont="1">
      <alignment horizontal="left" shrinkToFit="0" vertical="center" wrapText="0"/>
    </xf>
    <xf borderId="35" fillId="3" fontId="5" numFmtId="0" xfId="0" applyAlignment="1" applyBorder="1" applyFont="1">
      <alignment shrinkToFit="0" vertical="bottom" wrapText="0"/>
    </xf>
    <xf borderId="36" fillId="3" fontId="5" numFmtId="0" xfId="0" applyAlignment="1" applyBorder="1" applyFont="1">
      <alignment horizontal="left" shrinkToFit="0" vertical="center" wrapText="0"/>
    </xf>
    <xf borderId="35" fillId="3" fontId="5" numFmtId="1" xfId="0" applyAlignment="1" applyBorder="1" applyFont="1" applyNumberFormat="1">
      <alignment shrinkToFit="0" vertical="bottom" wrapText="0"/>
    </xf>
    <xf borderId="0" fillId="3" fontId="5" numFmtId="0" xfId="0" applyAlignment="1" applyFont="1">
      <alignment shrinkToFit="0" vertical="center" wrapText="0"/>
    </xf>
    <xf borderId="0" fillId="3" fontId="11" numFmtId="0" xfId="0" applyAlignment="1" applyFont="1">
      <alignment horizontal="center" shrinkToFit="0" vertical="center" wrapText="0"/>
    </xf>
    <xf borderId="37" fillId="3" fontId="11" numFmtId="0" xfId="0" applyAlignment="1" applyBorder="1" applyFont="1">
      <alignment horizontal="center" shrinkToFit="0" vertical="center" wrapText="0"/>
    </xf>
    <xf borderId="38" fillId="0" fontId="12" numFmtId="0" xfId="0" applyAlignment="1" applyBorder="1" applyFont="1">
      <alignment vertical="center"/>
    </xf>
    <xf borderId="0" fillId="3" fontId="9" numFmtId="0" xfId="0" applyAlignment="1" applyFont="1">
      <alignment shrinkToFit="0" vertical="center" wrapText="0"/>
    </xf>
    <xf borderId="1" fillId="3" fontId="9" numFmtId="0" xfId="0" applyAlignment="1" applyBorder="1" applyFont="1">
      <alignment shrinkToFit="0" vertical="center" wrapText="0"/>
    </xf>
    <xf borderId="1" fillId="3" fontId="5" numFmtId="166" xfId="0" applyAlignment="1" applyBorder="1" applyFont="1" applyNumberFormat="1">
      <alignment shrinkToFit="0" vertical="center" wrapText="0"/>
    </xf>
    <xf borderId="0" fillId="3" fontId="9" numFmtId="0" xfId="0" applyAlignment="1" applyFont="1">
      <alignment horizontal="left" shrinkToFit="0" vertical="center" wrapText="0"/>
    </xf>
    <xf borderId="5" fillId="3" fontId="9" numFmtId="0" xfId="0" applyAlignment="1" applyBorder="1" applyFont="1">
      <alignment horizontal="left" shrinkToFit="0" vertical="center" wrapText="0"/>
    </xf>
    <xf borderId="2" fillId="3" fontId="7" numFmtId="0" xfId="0" applyAlignment="1" applyBorder="1" applyFont="1">
      <alignment horizontal="left" shrinkToFit="0" vertical="center" wrapText="1"/>
    </xf>
    <xf borderId="2" fillId="3" fontId="9" numFmtId="0" xfId="0" applyAlignment="1" applyBorder="1" applyFont="1">
      <alignment horizontal="left" shrinkToFit="0" vertical="center" wrapText="0"/>
    </xf>
    <xf borderId="2" fillId="3" fontId="5" numFmtId="0" xfId="0" applyAlignment="1" applyBorder="1" applyFont="1">
      <alignment horizontal="left" readingOrder="0" shrinkToFit="0" vertical="center" wrapText="0"/>
    </xf>
    <xf borderId="2" fillId="3" fontId="7" numFmtId="0" xfId="0" applyAlignment="1" applyBorder="1" applyFont="1">
      <alignment horizontal="left" shrinkToFit="0" vertical="center" wrapText="0"/>
    </xf>
    <xf borderId="2" fillId="3" fontId="5" numFmtId="0" xfId="0" applyAlignment="1" applyBorder="1" applyFont="1">
      <alignment horizontal="left" shrinkToFit="0" vertical="center" wrapText="0"/>
    </xf>
    <xf borderId="2" fillId="3" fontId="7" numFmtId="167" xfId="0" applyAlignment="1" applyBorder="1" applyFont="1" applyNumberFormat="1">
      <alignment horizontal="left" shrinkToFit="0" vertical="center" wrapText="0"/>
    </xf>
    <xf borderId="2" fillId="3" fontId="7" numFmtId="0" xfId="0" applyAlignment="1" applyBorder="1" applyFont="1">
      <alignment shrinkToFit="0" vertical="center" wrapText="0"/>
    </xf>
    <xf borderId="32" fillId="3" fontId="5" numFmtId="0" xfId="0" applyAlignment="1" applyBorder="1" applyFont="1">
      <alignment shrinkToFit="0" vertical="center" wrapText="0"/>
    </xf>
    <xf borderId="0" fillId="0" fontId="15" numFmtId="0" xfId="0" applyAlignment="1" applyFont="1">
      <alignment horizontal="center" shrinkToFit="0" vertical="center" wrapText="0"/>
    </xf>
    <xf borderId="10" fillId="4" fontId="15" numFmtId="0" xfId="0" applyAlignment="1" applyBorder="1" applyFont="1">
      <alignment horizontal="center" shrinkToFit="0" vertical="center" wrapText="0"/>
    </xf>
    <xf borderId="10" fillId="4" fontId="15" numFmtId="0" xfId="0" applyAlignment="1" applyBorder="1" applyFont="1">
      <alignment horizontal="center" shrinkToFit="0" vertical="center" wrapText="1"/>
    </xf>
    <xf borderId="36" fillId="3" fontId="5" numFmtId="0" xfId="0" applyAlignment="1" applyBorder="1" applyFont="1">
      <alignment shrinkToFit="0" vertical="center" wrapText="0"/>
    </xf>
    <xf borderId="10" fillId="3" fontId="5" numFmtId="0" xfId="0" applyAlignment="1" applyBorder="1" applyFont="1">
      <alignment horizontal="center" shrinkToFit="0" vertical="center" wrapText="0"/>
    </xf>
    <xf borderId="0" fillId="3" fontId="5" numFmtId="0" xfId="0" applyAlignment="1" applyFont="1">
      <alignment horizontal="center" shrinkToFit="0" vertical="center" wrapText="0"/>
    </xf>
    <xf borderId="10" fillId="0" fontId="5" numFmtId="0" xfId="0" applyAlignment="1" applyBorder="1" applyFont="1">
      <alignment horizontal="center" vertical="center"/>
    </xf>
    <xf borderId="10" fillId="3" fontId="23" numFmtId="49" xfId="0" applyAlignment="1" applyBorder="1" applyFont="1" applyNumberFormat="1">
      <alignment shrinkToFit="0" vertical="center" wrapText="1"/>
    </xf>
    <xf borderId="0" fillId="0" fontId="24" numFmtId="0" xfId="0" applyAlignment="1" applyFont="1">
      <alignment horizontal="center" shrinkToFit="0" vertical="center" wrapText="0"/>
    </xf>
    <xf borderId="10" fillId="4" fontId="24" numFmtId="0" xfId="0" applyAlignment="1" applyBorder="1" applyFont="1">
      <alignment horizontal="center" shrinkToFit="0" vertical="center" wrapText="0"/>
    </xf>
    <xf borderId="10" fillId="4" fontId="25" numFmtId="0" xfId="0" applyAlignment="1" applyBorder="1" applyFont="1">
      <alignment shrinkToFit="0" vertical="center" wrapText="0"/>
    </xf>
    <xf borderId="35" fillId="3" fontId="5" numFmtId="0" xfId="0" applyAlignment="1" applyBorder="1" applyFont="1">
      <alignment horizontal="center" shrinkToFit="0" vertical="center" wrapText="0"/>
    </xf>
    <xf borderId="35" fillId="3" fontId="5" numFmtId="0" xfId="0" applyAlignment="1" applyBorder="1" applyFont="1">
      <alignment shrinkToFit="0" vertical="center" wrapText="0"/>
    </xf>
    <xf borderId="35" fillId="3" fontId="5" numFmtId="10" xfId="0" applyAlignment="1" applyBorder="1" applyFont="1" applyNumberFormat="1">
      <alignment horizontal="center" shrinkToFit="0" vertical="center" wrapText="0"/>
    </xf>
    <xf borderId="35" fillId="3" fontId="5" numFmtId="9" xfId="0" applyAlignment="1" applyBorder="1" applyFont="1" applyNumberFormat="1">
      <alignment horizontal="center" shrinkToFit="0" vertical="center" wrapText="0"/>
    </xf>
    <xf borderId="1" fillId="3" fontId="9" numFmtId="0" xfId="0" applyAlignment="1" applyBorder="1" applyFont="1">
      <alignment horizontal="left" shrinkToFit="0" vertical="center" wrapText="0"/>
    </xf>
    <xf borderId="1" fillId="3" fontId="9" numFmtId="2" xfId="0" applyAlignment="1" applyBorder="1" applyFont="1" applyNumberFormat="1">
      <alignment horizontal="right" shrinkToFit="0" vertical="center" wrapText="1"/>
    </xf>
    <xf borderId="1" fillId="3" fontId="26" numFmtId="0" xfId="0" applyAlignment="1" applyBorder="1" applyFont="1">
      <alignment horizontal="center" shrinkToFit="0" vertical="center" wrapText="1"/>
    </xf>
    <xf borderId="39" fillId="3" fontId="27" numFmtId="0" xfId="0" applyAlignment="1" applyBorder="1" applyFont="1">
      <alignment shrinkToFit="0" vertical="bottom" wrapText="1"/>
    </xf>
    <xf borderId="40" fillId="0" fontId="12" numFmtId="0" xfId="0" applyAlignment="1" applyBorder="1" applyFont="1">
      <alignment vertical="center"/>
    </xf>
    <xf borderId="41" fillId="3" fontId="28" numFmtId="49" xfId="0" applyAlignment="1" applyBorder="1" applyFont="1" applyNumberFormat="1">
      <alignment shrinkToFit="0" vertical="bottom" wrapText="1"/>
    </xf>
    <xf borderId="42" fillId="0" fontId="12" numFmtId="0" xfId="0" applyAlignment="1" applyBorder="1" applyFont="1">
      <alignment vertical="center"/>
    </xf>
    <xf borderId="41" fillId="3" fontId="27" numFmtId="0" xfId="0" applyAlignment="1" applyBorder="1" applyFont="1">
      <alignment shrinkToFit="0" vertical="bottom" wrapText="1"/>
    </xf>
    <xf borderId="41" fillId="3" fontId="29" numFmtId="49" xfId="0" applyAlignment="1" applyBorder="1" applyFont="1" applyNumberFormat="1">
      <alignment horizontal="center" shrinkToFit="0" vertical="bottom" wrapText="1"/>
    </xf>
    <xf borderId="43" fillId="0" fontId="12" numFmtId="0" xfId="0" applyAlignment="1" applyBorder="1" applyFont="1">
      <alignment vertical="center"/>
    </xf>
    <xf borderId="44" fillId="3" fontId="29" numFmtId="49" xfId="0" applyAlignment="1" applyBorder="1" applyFont="1" applyNumberFormat="1">
      <alignment horizontal="center" shrinkToFit="0" vertical="bottom" wrapText="1"/>
    </xf>
    <xf borderId="0" fillId="3" fontId="29" numFmtId="49" xfId="0" applyAlignment="1" applyFont="1" applyNumberFormat="1">
      <alignment horizontal="center" shrinkToFit="0" vertical="bottom" wrapText="1"/>
    </xf>
    <xf borderId="45" fillId="3" fontId="27" numFmtId="0" xfId="0" applyAlignment="1" applyBorder="1" applyFont="1">
      <alignment shrinkToFit="0" vertical="bottom" wrapText="1"/>
    </xf>
    <xf borderId="46" fillId="0" fontId="12" numFmtId="0" xfId="0" applyAlignment="1" applyBorder="1" applyFont="1">
      <alignment vertical="center"/>
    </xf>
    <xf borderId="47" fillId="3" fontId="28" numFmtId="0" xfId="0" applyAlignment="1" applyBorder="1" applyFont="1">
      <alignment readingOrder="0" shrinkToFit="0" vertical="bottom" wrapText="1"/>
    </xf>
    <xf borderId="48" fillId="3" fontId="27" numFmtId="0" xfId="0" applyAlignment="1" applyBorder="1" applyFont="1">
      <alignment shrinkToFit="0" vertical="bottom" wrapText="1"/>
    </xf>
    <xf borderId="49" fillId="0" fontId="12" numFmtId="0" xfId="0" applyAlignment="1" applyBorder="1" applyFont="1">
      <alignment vertical="center"/>
    </xf>
    <xf borderId="50" fillId="0" fontId="12" numFmtId="0" xfId="0" applyAlignment="1" applyBorder="1" applyFont="1">
      <alignment vertical="center"/>
    </xf>
    <xf borderId="51" fillId="3" fontId="28" numFmtId="0" xfId="0" applyAlignment="1" applyBorder="1" applyFont="1">
      <alignment readingOrder="0" shrinkToFit="0" vertical="bottom" wrapText="1"/>
    </xf>
    <xf borderId="52" fillId="0" fontId="12" numFmtId="0" xfId="0" applyAlignment="1" applyBorder="1" applyFont="1">
      <alignment vertical="center"/>
    </xf>
    <xf borderId="44" fillId="3" fontId="28" numFmtId="0" xfId="0" applyAlignment="1" applyBorder="1" applyFont="1">
      <alignment shrinkToFit="0" vertical="bottom" wrapText="1"/>
    </xf>
    <xf borderId="0" fillId="3" fontId="28" numFmtId="0" xfId="0" applyAlignment="1" applyFont="1">
      <alignment shrinkToFit="0" vertical="bottom" wrapText="1"/>
    </xf>
    <xf borderId="0" fillId="3" fontId="30" numFmtId="0" xfId="0" applyAlignment="1" applyFont="1">
      <alignment vertical="bottom"/>
    </xf>
    <xf borderId="53" fillId="3" fontId="27" numFmtId="0" xfId="0" applyAlignment="1" applyBorder="1" applyFont="1">
      <alignment shrinkToFit="0" vertical="bottom" wrapText="1"/>
    </xf>
    <xf borderId="2" fillId="3" fontId="30" numFmtId="0" xfId="0" applyAlignment="1" applyBorder="1" applyFont="1">
      <alignment vertical="bottom"/>
    </xf>
    <xf borderId="54" fillId="0" fontId="12" numFmtId="0" xfId="0" applyAlignment="1" applyBorder="1" applyFont="1">
      <alignment vertical="center"/>
    </xf>
    <xf borderId="44" fillId="3" fontId="30" numFmtId="0" xfId="0" applyAlignment="1" applyBorder="1" applyFont="1">
      <alignment vertical="bottom"/>
    </xf>
    <xf borderId="53" fillId="3" fontId="27" numFmtId="0" xfId="0" applyAlignment="1" applyBorder="1" applyFont="1">
      <alignment horizontal="center" vertical="center"/>
    </xf>
    <xf borderId="2" fillId="3" fontId="27" numFmtId="0" xfId="0" applyAlignment="1" applyBorder="1" applyFont="1">
      <alignment horizontal="center" shrinkToFit="0" vertical="center" wrapText="1"/>
    </xf>
    <xf borderId="3" fillId="3" fontId="27" numFmtId="0" xfId="0" applyAlignment="1" applyBorder="1" applyFont="1">
      <alignment horizontal="center" shrinkToFit="0" vertical="center" wrapText="1"/>
    </xf>
    <xf borderId="44" fillId="3" fontId="27" numFmtId="0" xfId="0" applyAlignment="1" applyBorder="1" applyFont="1">
      <alignment horizontal="center" shrinkToFit="0" vertical="center" wrapText="1"/>
    </xf>
    <xf borderId="0" fillId="3" fontId="27" numFmtId="0" xfId="0" applyAlignment="1" applyFont="1">
      <alignment horizontal="center" shrinkToFit="0" vertical="center" wrapText="1"/>
    </xf>
    <xf borderId="55" fillId="3" fontId="29" numFmtId="0" xfId="0" applyAlignment="1" applyBorder="1" applyFont="1">
      <alignment horizontal="center" vertical="center"/>
    </xf>
    <xf borderId="56" fillId="0" fontId="12" numFmtId="0" xfId="0" applyAlignment="1" applyBorder="1" applyFont="1">
      <alignment vertical="center"/>
    </xf>
    <xf borderId="57" fillId="3" fontId="29" numFmtId="0" xfId="0" applyAlignment="1" applyBorder="1" applyFont="1">
      <alignment horizontal="center" vertical="center"/>
    </xf>
    <xf borderId="57" fillId="3" fontId="29" numFmtId="0" xfId="0" applyAlignment="1" applyBorder="1" applyFont="1">
      <alignment horizontal="center" shrinkToFit="0" vertical="center" wrapText="1"/>
    </xf>
    <xf borderId="58" fillId="0" fontId="12" numFmtId="0" xfId="0" applyAlignment="1" applyBorder="1" applyFont="1">
      <alignment vertical="center"/>
    </xf>
    <xf borderId="59" fillId="3" fontId="29" numFmtId="0" xfId="0" applyAlignment="1" applyBorder="1" applyFont="1">
      <alignment horizontal="center" shrinkToFit="0" vertical="center" wrapText="1"/>
    </xf>
    <xf borderId="60" fillId="0" fontId="12" numFmtId="0" xfId="0" applyAlignment="1" applyBorder="1" applyFont="1">
      <alignment vertical="center"/>
    </xf>
    <xf borderId="44" fillId="3" fontId="29" numFmtId="0" xfId="0" applyAlignment="1" applyBorder="1" applyFont="1">
      <alignment horizontal="center" vertical="center"/>
    </xf>
    <xf borderId="0" fillId="3" fontId="29" numFmtId="0" xfId="0" applyAlignment="1" applyFont="1">
      <alignment horizontal="center" vertical="center"/>
    </xf>
    <xf borderId="0" fillId="3" fontId="29" numFmtId="0" xfId="0" applyAlignment="1" applyFont="1">
      <alignment horizontal="center" shrinkToFit="0" vertical="center" wrapText="1"/>
    </xf>
    <xf borderId="0" fillId="0" fontId="30" numFmtId="0" xfId="0" applyAlignment="1" applyFont="1">
      <alignment vertical="bottom"/>
    </xf>
    <xf borderId="0" fillId="0" fontId="6" numFmtId="0" xfId="0" applyAlignment="1" applyFont="1">
      <alignment vertical="bottom"/>
    </xf>
    <xf borderId="61" fillId="4" fontId="30" numFmtId="0" xfId="0" applyAlignment="1" applyBorder="1" applyFont="1">
      <alignment vertical="bottom"/>
    </xf>
    <xf borderId="62" fillId="4" fontId="30" numFmtId="0" xfId="0" applyAlignment="1" applyBorder="1" applyFont="1">
      <alignment vertical="bottom"/>
    </xf>
    <xf borderId="62" fillId="4" fontId="31" numFmtId="0" xfId="0" applyAlignment="1" applyBorder="1" applyFont="1">
      <alignment horizontal="right" shrinkToFit="0" textRotation="180" vertical="top" wrapText="1"/>
    </xf>
    <xf borderId="0" fillId="0" fontId="30" numFmtId="0" xfId="0" applyAlignment="1" applyFont="1">
      <alignment vertical="center"/>
    </xf>
    <xf borderId="63" fillId="4" fontId="31" numFmtId="0" xfId="0" applyAlignment="1" applyBorder="1" applyFont="1">
      <alignment vertical="center"/>
    </xf>
    <xf borderId="64" fillId="3" fontId="27" numFmtId="0" xfId="0" applyAlignment="1" applyBorder="1" applyFont="1">
      <alignment vertical="top"/>
    </xf>
    <xf borderId="65" fillId="3" fontId="30" numFmtId="0" xfId="0" applyAlignment="1" applyBorder="1" applyFont="1">
      <alignment vertical="top"/>
    </xf>
    <xf borderId="66" fillId="3" fontId="30" numFmtId="0" xfId="0" applyAlignment="1" applyBorder="1" applyFont="1">
      <alignment vertical="top"/>
    </xf>
    <xf borderId="5" fillId="0" fontId="30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7" fillId="4" fontId="30" numFmtId="0" xfId="0" applyAlignment="1" applyBorder="1" applyFont="1">
      <alignment vertical="center"/>
    </xf>
    <xf borderId="14" fillId="3" fontId="30" numFmtId="0" xfId="0" applyAlignment="1" applyBorder="1" applyFont="1">
      <alignment vertical="top"/>
    </xf>
    <xf borderId="15" fillId="3" fontId="30" numFmtId="0" xfId="0" applyAlignment="1" applyBorder="1" applyFont="1">
      <alignment vertical="top"/>
    </xf>
    <xf borderId="16" fillId="3" fontId="29" numFmtId="0" xfId="0" applyAlignment="1" applyBorder="1" applyFont="1">
      <alignment horizontal="right" vertical="top"/>
    </xf>
    <xf borderId="5" fillId="0" fontId="3" numFmtId="0" xfId="0" applyAlignment="1" applyBorder="1" applyFont="1">
      <alignment horizontal="center" shrinkToFit="0" vertical="bottom" wrapText="1"/>
    </xf>
    <xf borderId="14" fillId="3" fontId="27" numFmtId="0" xfId="0" applyAlignment="1" applyBorder="1" applyFont="1">
      <alignment readingOrder="0" vertical="top"/>
    </xf>
    <xf borderId="16" fillId="3" fontId="30" numFmtId="0" xfId="0" applyAlignment="1" applyBorder="1" applyFont="1">
      <alignment vertical="top"/>
    </xf>
    <xf borderId="15" fillId="3" fontId="29" numFmtId="0" xfId="0" applyAlignment="1" applyBorder="1" applyFont="1">
      <alignment horizontal="center" readingOrder="0" vertical="top"/>
    </xf>
    <xf borderId="16" fillId="3" fontId="29" numFmtId="0" xfId="0" applyAlignment="1" applyBorder="1" applyFont="1">
      <alignment horizontal="right" readingOrder="0" vertical="top"/>
    </xf>
    <xf borderId="5" fillId="0" fontId="2" numFmtId="0" xfId="0" applyAlignment="1" applyBorder="1" applyFont="1">
      <alignment vertical="bottom"/>
    </xf>
    <xf borderId="68" fillId="4" fontId="30" numFmtId="0" xfId="0" applyAlignment="1" applyBorder="1" applyFont="1">
      <alignment vertical="center"/>
    </xf>
    <xf borderId="14" fillId="3" fontId="27" numFmtId="0" xfId="0" applyAlignment="1" applyBorder="1" applyFont="1">
      <alignment vertical="top"/>
    </xf>
    <xf borderId="69" fillId="0" fontId="30" numFmtId="0" xfId="0" applyAlignment="1" applyBorder="1" applyFont="1">
      <alignment vertical="bottom"/>
    </xf>
    <xf borderId="69" fillId="0" fontId="3" numFmtId="0" xfId="0" applyAlignment="1" applyBorder="1" applyFont="1">
      <alignment vertical="bottom"/>
    </xf>
    <xf borderId="69" fillId="0" fontId="3" numFmtId="0" xfId="0" applyAlignment="1" applyBorder="1" applyFont="1">
      <alignment horizontal="center" shrinkToFit="0" vertical="bottom" wrapText="1"/>
    </xf>
    <xf borderId="70" fillId="3" fontId="30" numFmtId="0" xfId="0" applyAlignment="1" applyBorder="1" applyFont="1">
      <alignment vertical="top"/>
    </xf>
    <xf borderId="63" fillId="4" fontId="31" numFmtId="0" xfId="0" applyAlignment="1" applyBorder="1" applyFont="1">
      <alignment vertical="top"/>
    </xf>
    <xf borderId="14" fillId="3" fontId="27" numFmtId="0" xfId="0" applyAlignment="1" applyBorder="1" applyFont="1">
      <alignment vertical="bottom"/>
    </xf>
    <xf borderId="15" fillId="3" fontId="30" numFmtId="0" xfId="0" applyAlignment="1" applyBorder="1" applyFont="1">
      <alignment vertical="bottom"/>
    </xf>
    <xf borderId="16" fillId="3" fontId="30" numFmtId="0" xfId="0" applyAlignment="1" applyBorder="1" applyFont="1">
      <alignment vertical="bottom"/>
    </xf>
    <xf borderId="68" fillId="4" fontId="30" numFmtId="0" xfId="0" applyAlignment="1" applyBorder="1" applyFont="1">
      <alignment vertical="top"/>
    </xf>
    <xf borderId="14" fillId="3" fontId="30" numFmtId="0" xfId="0" applyAlignment="1" applyBorder="1" applyFont="1">
      <alignment vertical="bottom"/>
    </xf>
    <xf borderId="16" fillId="3" fontId="29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center" readingOrder="0" shrinkToFit="0" vertical="bottom" wrapText="1"/>
    </xf>
    <xf borderId="71" fillId="3" fontId="30" numFmtId="0" xfId="0" applyAlignment="1" applyBorder="1" applyFont="1">
      <alignment vertical="bottom"/>
    </xf>
    <xf borderId="72" fillId="3" fontId="30" numFmtId="0" xfId="0" applyAlignment="1" applyBorder="1" applyFont="1">
      <alignment vertical="bottom"/>
    </xf>
    <xf borderId="2" fillId="3" fontId="32" numFmtId="0" xfId="0" applyAlignment="1" applyBorder="1" applyFont="1">
      <alignment horizontal="left" shrinkToFit="0" vertical="bottom" wrapText="0"/>
    </xf>
    <xf borderId="48" fillId="3" fontId="32" numFmtId="0" xfId="0" applyAlignment="1" applyBorder="1" applyFont="1">
      <alignment horizontal="right" shrinkToFit="0" vertical="bottom" wrapText="0"/>
    </xf>
    <xf borderId="3" fillId="3" fontId="33" numFmtId="0" xfId="0" applyAlignment="1" applyBorder="1" applyFont="1">
      <alignment horizontal="right" vertical="bottom"/>
    </xf>
    <xf borderId="73" fillId="3" fontId="30" numFmtId="0" xfId="0" applyAlignment="1" applyBorder="1" applyFont="1">
      <alignment vertical="center"/>
    </xf>
    <xf borderId="49" fillId="0" fontId="29" numFmtId="0" xfId="0" applyAlignment="1" applyBorder="1" applyFont="1">
      <alignment horizontal="right" shrinkToFit="0" vertical="center" wrapText="1"/>
    </xf>
    <xf borderId="67" fillId="4" fontId="30" numFmtId="0" xfId="0" applyAlignment="1" applyBorder="1" applyFont="1">
      <alignment vertical="top"/>
    </xf>
    <xf borderId="49" fillId="3" fontId="29" numFmtId="0" xfId="0" applyAlignment="1" applyBorder="1" applyFont="1">
      <alignment horizontal="right" readingOrder="0" vertical="center"/>
    </xf>
    <xf borderId="49" fillId="0" fontId="29" numFmtId="0" xfId="0" applyAlignment="1" applyBorder="1" applyFont="1">
      <alignment horizontal="right" readingOrder="0" shrinkToFit="0" vertical="center" wrapText="1"/>
    </xf>
    <xf borderId="74" fillId="3" fontId="30" numFmtId="0" xfId="0" applyAlignment="1" applyBorder="1" applyFont="1">
      <alignment vertical="center"/>
    </xf>
    <xf borderId="75" fillId="0" fontId="29" numFmtId="0" xfId="0" applyAlignment="1" applyBorder="1" applyFont="1">
      <alignment vertical="bottom"/>
    </xf>
    <xf borderId="76" fillId="0" fontId="12" numFmtId="0" xfId="0" applyAlignment="1" applyBorder="1" applyFont="1">
      <alignment vertical="center"/>
    </xf>
    <xf borderId="77" fillId="0" fontId="12" numFmtId="0" xfId="0" applyAlignment="1" applyBorder="1" applyFont="1">
      <alignment vertical="center"/>
    </xf>
    <xf borderId="78" fillId="0" fontId="34" numFmtId="0" xfId="0" applyAlignment="1" applyBorder="1" applyFont="1">
      <alignment horizontal="center" shrinkToFit="0" vertical="bottom" wrapText="1"/>
    </xf>
    <xf borderId="2" fillId="0" fontId="29" numFmtId="0" xfId="0" applyAlignment="1" applyBorder="1" applyFont="1">
      <alignment vertical="bottom"/>
    </xf>
    <xf borderId="5" fillId="0" fontId="34" numFmtId="0" xfId="0" applyAlignment="1" applyBorder="1" applyFont="1">
      <alignment horizontal="center" shrinkToFit="0" vertical="bottom" wrapText="1"/>
    </xf>
    <xf borderId="2" fillId="0" fontId="29" numFmtId="0" xfId="0" applyAlignment="1" applyBorder="1" applyFont="1">
      <alignment vertical="top"/>
    </xf>
    <xf borderId="5" fillId="0" fontId="29" numFmtId="168" xfId="0" applyAlignment="1" applyBorder="1" applyFont="1" applyNumberFormat="1">
      <alignment horizontal="center" textRotation="255" vertical="top"/>
    </xf>
    <xf borderId="79" fillId="4" fontId="30" numFmtId="0" xfId="0" applyAlignment="1" applyBorder="1" applyFont="1">
      <alignment vertical="top"/>
    </xf>
    <xf borderId="80" fillId="0" fontId="29" numFmtId="0" xfId="0" applyAlignment="1" applyBorder="1" applyFont="1">
      <alignment vertical="top"/>
    </xf>
    <xf borderId="81" fillId="0" fontId="12" numFmtId="0" xfId="0" applyAlignment="1" applyBorder="1" applyFont="1">
      <alignment vertical="center"/>
    </xf>
    <xf borderId="82" fillId="0" fontId="12" numFmtId="0" xfId="0" applyAlignment="1" applyBorder="1" applyFont="1">
      <alignment vertical="center"/>
    </xf>
    <xf borderId="83" fillId="0" fontId="30" numFmtId="0" xfId="0" applyAlignment="1" applyBorder="1" applyFont="1">
      <alignment vertical="bottom"/>
    </xf>
    <xf borderId="83" fillId="0" fontId="29" numFmtId="0" xfId="0" applyAlignment="1" applyBorder="1" applyFont="1">
      <alignment horizontal="center" shrinkToFit="0" textRotation="255" vertical="bottom" wrapText="1"/>
    </xf>
    <xf borderId="83" fillId="0" fontId="3" numFmtId="0" xfId="0" applyAlignment="1" applyBorder="1" applyFont="1">
      <alignment horizontal="center" shrinkToFit="0" textRotation="255" vertical="bottom" wrapText="1"/>
    </xf>
    <xf borderId="0" fillId="3" fontId="6" numFmtId="0" xfId="0" applyAlignment="1" applyFont="1">
      <alignment vertical="bottom"/>
    </xf>
    <xf borderId="0" fillId="0" fontId="30" numFmtId="49" xfId="0" applyAlignment="1" applyFont="1" applyNumberFormat="1">
      <alignment vertical="bottom"/>
    </xf>
    <xf borderId="65" fillId="3" fontId="6" numFmtId="0" xfId="0" applyAlignment="1" applyBorder="1" applyFont="1">
      <alignment vertical="top"/>
    </xf>
    <xf borderId="66" fillId="3" fontId="6" numFmtId="0" xfId="0" applyAlignment="1" applyBorder="1" applyFont="1">
      <alignment vertical="top"/>
    </xf>
    <xf borderId="5" fillId="0" fontId="6" numFmtId="0" xfId="0" applyAlignment="1" applyBorder="1" applyFont="1">
      <alignment vertical="bottom"/>
    </xf>
    <xf borderId="0" fillId="0" fontId="6" numFmtId="0" xfId="0" applyAlignment="1" applyFont="1">
      <alignment vertical="center"/>
    </xf>
    <xf borderId="67" fillId="4" fontId="6" numFmtId="0" xfId="0" applyAlignment="1" applyBorder="1" applyFont="1">
      <alignment vertical="center"/>
    </xf>
    <xf borderId="14" fillId="3" fontId="6" numFmtId="0" xfId="0" applyAlignment="1" applyBorder="1" applyFont="1">
      <alignment vertical="top"/>
    </xf>
    <xf borderId="15" fillId="3" fontId="6" numFmtId="0" xfId="0" applyAlignment="1" applyBorder="1" applyFont="1">
      <alignment vertical="top"/>
    </xf>
    <xf borderId="0" fillId="0" fontId="6" numFmtId="49" xfId="0" applyAlignment="1" applyFont="1" applyNumberFormat="1">
      <alignment vertical="bottom"/>
    </xf>
    <xf borderId="68" fillId="4" fontId="6" numFmtId="0" xfId="0" applyAlignment="1" applyBorder="1" applyFont="1">
      <alignment vertical="center"/>
    </xf>
    <xf borderId="15" fillId="3" fontId="29" numFmtId="0" xfId="0" applyAlignment="1" applyBorder="1" applyFont="1">
      <alignment horizontal="center" vertical="top"/>
    </xf>
    <xf borderId="69" fillId="0" fontId="6" numFmtId="0" xfId="0" applyAlignment="1" applyBorder="1" applyFont="1">
      <alignment vertical="bottom"/>
    </xf>
    <xf borderId="84" fillId="4" fontId="31" numFmtId="0" xfId="0" applyAlignment="1" applyBorder="1" applyFont="1">
      <alignment vertical="top"/>
    </xf>
    <xf borderId="85" fillId="0" fontId="6" numFmtId="0" xfId="0" applyAlignment="1" applyBorder="1" applyFont="1">
      <alignment vertical="bottom"/>
    </xf>
    <xf borderId="85" fillId="0" fontId="3" numFmtId="0" xfId="0" applyAlignment="1" applyBorder="1" applyFont="1">
      <alignment horizontal="center" readingOrder="0" shrinkToFit="0" vertical="bottom" wrapText="1"/>
    </xf>
    <xf borderId="85" fillId="0" fontId="3" numFmtId="0" xfId="0" applyAlignment="1" applyBorder="1" applyFont="1">
      <alignment horizontal="center" shrinkToFit="0" vertical="bottom" wrapText="1"/>
    </xf>
    <xf borderId="3" fillId="3" fontId="33" numFmtId="0" xfId="0" applyAlignment="1" applyBorder="1" applyFont="1">
      <alignment horizontal="right" shrinkToFit="0" vertical="bottom" wrapText="0"/>
    </xf>
    <xf borderId="4" fillId="3" fontId="33" numFmtId="0" xfId="0" applyAlignment="1" applyBorder="1" applyFont="1">
      <alignment horizontal="right" shrinkToFit="0" vertical="bottom" wrapText="0"/>
    </xf>
    <xf borderId="50" fillId="0" fontId="6" numFmtId="0" xfId="0" applyAlignment="1" applyBorder="1" applyFont="1">
      <alignment vertical="bottom"/>
    </xf>
    <xf borderId="49" fillId="3" fontId="33" numFmtId="0" xfId="0" applyAlignment="1" applyBorder="1" applyFont="1">
      <alignment horizontal="right" shrinkToFit="0" vertical="bottom" wrapText="0"/>
    </xf>
    <xf borderId="50" fillId="3" fontId="33" numFmtId="0" xfId="0" applyAlignment="1" applyBorder="1" applyFont="1">
      <alignment horizontal="right" shrinkToFit="0" vertical="bottom" wrapText="0"/>
    </xf>
    <xf borderId="84" fillId="4" fontId="6" numFmtId="0" xfId="0" applyAlignment="1" applyBorder="1" applyFont="1">
      <alignment vertical="top"/>
    </xf>
    <xf borderId="86" fillId="3" fontId="6" numFmtId="0" xfId="0" applyAlignment="1" applyBorder="1" applyFont="1">
      <alignment vertical="bottom"/>
    </xf>
    <xf borderId="87" fillId="3" fontId="6" numFmtId="0" xfId="0" applyAlignment="1" applyBorder="1" applyFont="1">
      <alignment vertical="center"/>
    </xf>
    <xf borderId="88" fillId="0" fontId="29" numFmtId="0" xfId="0" applyAlignment="1" applyBorder="1" applyFont="1">
      <alignment horizontal="right" readingOrder="0" vertical="center"/>
    </xf>
    <xf borderId="50" fillId="0" fontId="3" numFmtId="0" xfId="0" applyAlignment="1" applyBorder="1" applyFont="1">
      <alignment vertical="bottom"/>
    </xf>
    <xf borderId="89" fillId="4" fontId="6" numFmtId="0" xfId="0" applyAlignment="1" applyBorder="1" applyFont="1">
      <alignment vertical="top"/>
    </xf>
    <xf borderId="2" fillId="3" fontId="6" numFmtId="0" xfId="0" applyAlignment="1" applyBorder="1" applyFont="1">
      <alignment vertical="bottom"/>
    </xf>
    <xf borderId="90" fillId="3" fontId="6" numFmtId="0" xfId="0" applyAlignment="1" applyBorder="1" applyFont="1">
      <alignment vertical="center"/>
    </xf>
    <xf borderId="4" fillId="0" fontId="29" numFmtId="0" xfId="0" applyAlignment="1" applyBorder="1" applyFont="1">
      <alignment horizontal="right" readingOrder="0" vertical="center"/>
    </xf>
    <xf borderId="4" fillId="0" fontId="6" numFmtId="0" xfId="0" applyAlignment="1" applyBorder="1" applyFont="1">
      <alignment vertical="bottom"/>
    </xf>
    <xf borderId="91" fillId="3" fontId="29" numFmtId="0" xfId="0" applyAlignment="1" applyBorder="1" applyFont="1">
      <alignment horizontal="center" readingOrder="0" vertical="top"/>
    </xf>
    <xf borderId="92" fillId="3" fontId="29" numFmtId="0" xfId="0" applyAlignment="1" applyBorder="1" applyFont="1">
      <alignment horizontal="right" vertical="top"/>
    </xf>
    <xf borderId="93" fillId="3" fontId="27" numFmtId="0" xfId="0" applyAlignment="1" applyBorder="1" applyFont="1">
      <alignment readingOrder="0" vertical="top"/>
    </xf>
    <xf borderId="69" fillId="0" fontId="30" numFmtId="0" xfId="0" applyAlignment="1" applyBorder="1" applyFont="1">
      <alignment readingOrder="0" vertical="bottom"/>
    </xf>
    <xf borderId="93" fillId="3" fontId="30" numFmtId="0" xfId="0" applyAlignment="1" applyBorder="1" applyFont="1">
      <alignment vertical="top"/>
    </xf>
    <xf borderId="89" fillId="4" fontId="30" numFmtId="0" xfId="0" applyAlignment="1" applyBorder="1" applyFont="1">
      <alignment vertical="top"/>
    </xf>
    <xf borderId="90" fillId="3" fontId="30" numFmtId="0" xfId="0" applyAlignment="1" applyBorder="1" applyFont="1">
      <alignment vertical="center"/>
    </xf>
    <xf borderId="4" fillId="0" fontId="30" numFmtId="0" xfId="0" applyAlignment="1" applyBorder="1" applyFont="1">
      <alignment vertical="bottom"/>
    </xf>
    <xf borderId="48" fillId="3" fontId="30" numFmtId="0" xfId="0" applyAlignment="1" applyBorder="1" applyFont="1">
      <alignment vertical="bottom"/>
    </xf>
    <xf borderId="50" fillId="3" fontId="29" numFmtId="0" xfId="0" applyAlignment="1" applyBorder="1" applyFont="1">
      <alignment horizontal="right" readingOrder="0" vertical="center"/>
    </xf>
    <xf borderId="48" fillId="3" fontId="28" numFmtId="0" xfId="0" applyAlignment="1" applyBorder="1" applyFont="1">
      <alignment readingOrder="0" shrinkToFit="0" vertical="bottom" wrapText="1"/>
    </xf>
    <xf borderId="16" fillId="3" fontId="6" numFmtId="0" xfId="0" applyAlignment="1" applyBorder="1" applyFont="1">
      <alignment vertical="top"/>
    </xf>
    <xf borderId="14" fillId="3" fontId="29" numFmtId="0" xfId="0" applyAlignment="1" applyBorder="1" applyFont="1">
      <alignment vertical="top"/>
    </xf>
    <xf borderId="15" fillId="3" fontId="29" numFmtId="0" xfId="0" applyAlignment="1" applyBorder="1" applyFont="1">
      <alignment readingOrder="0" vertical="top"/>
    </xf>
    <xf borderId="5" fillId="0" fontId="35" numFmtId="0" xfId="0" applyAlignment="1" applyBorder="1" applyFont="1">
      <alignment vertical="bottom"/>
    </xf>
    <xf borderId="68" fillId="4" fontId="31" numFmtId="0" xfId="0" applyAlignment="1" applyBorder="1" applyFont="1">
      <alignment vertical="top"/>
    </xf>
    <xf borderId="68" fillId="4" fontId="6" numFmtId="0" xfId="0" applyAlignment="1" applyBorder="1" applyFont="1">
      <alignment vertical="top"/>
    </xf>
    <xf borderId="73" fillId="3" fontId="6" numFmtId="0" xfId="0" applyAlignment="1" applyBorder="1" applyFont="1">
      <alignment vertical="center"/>
    </xf>
    <xf borderId="67" fillId="4" fontId="6" numFmtId="0" xfId="0" applyAlignment="1" applyBorder="1" applyFont="1">
      <alignment vertical="top"/>
    </xf>
    <xf borderId="94" fillId="4" fontId="31" numFmtId="0" xfId="0" applyAlignment="1" applyBorder="1" applyFont="1">
      <alignment horizontal="right" shrinkToFit="0" textRotation="180" vertical="top" wrapText="1"/>
    </xf>
    <xf borderId="67" fillId="4" fontId="29" numFmtId="0" xfId="0" applyAlignment="1" applyBorder="1" applyFont="1">
      <alignment horizontal="right" vertical="center"/>
    </xf>
    <xf borderId="0" fillId="0" fontId="27" numFmtId="0" xfId="0" applyAlignment="1" applyFont="1">
      <alignment horizontal="left" readingOrder="0" vertical="center"/>
    </xf>
    <xf borderId="15" fillId="3" fontId="29" numFmtId="0" xfId="0" applyAlignment="1" applyBorder="1" applyFont="1">
      <alignment horizontal="right" vertical="top"/>
    </xf>
    <xf borderId="5" fillId="0" fontId="29" numFmtId="0" xfId="0" applyAlignment="1" applyBorder="1" applyFont="1">
      <alignment horizontal="right" vertical="bottom"/>
    </xf>
    <xf borderId="0" fillId="0" fontId="29" numFmtId="0" xfId="0" applyAlignment="1" applyFont="1">
      <alignment horizontal="right" vertical="bottom"/>
    </xf>
    <xf borderId="0" fillId="0" fontId="29" numFmtId="0" xfId="0" applyAlignment="1" applyFont="1">
      <alignment horizontal="right" vertical="center"/>
    </xf>
    <xf borderId="68" fillId="4" fontId="29" numFmtId="0" xfId="0" applyAlignment="1" applyBorder="1" applyFont="1">
      <alignment horizontal="right" vertical="center"/>
    </xf>
    <xf borderId="0" fillId="0" fontId="27" numFmtId="0" xfId="0" applyAlignment="1" applyFont="1">
      <alignment horizontal="left" vertical="center"/>
    </xf>
    <xf borderId="49" fillId="0" fontId="29" numFmtId="0" xfId="0" applyAlignment="1" applyBorder="1" applyFont="1">
      <alignment horizontal="right" readingOrder="0" vertical="center"/>
    </xf>
    <xf borderId="3" fillId="0" fontId="29" numFmtId="0" xfId="0" applyAlignment="1" applyBorder="1" applyFont="1">
      <alignment horizontal="right" readingOrder="0" vertical="center"/>
    </xf>
    <xf borderId="3" fillId="0" fontId="29" numFmtId="0" xfId="0" applyAlignment="1" applyBorder="1" applyFont="1">
      <alignment horizontal="right" vertical="center"/>
    </xf>
    <xf borderId="4" fillId="3" fontId="29" numFmtId="0" xfId="0" applyAlignment="1" applyBorder="1" applyFont="1">
      <alignment horizontal="right" readingOrder="0" vertical="center"/>
    </xf>
    <xf borderId="49" fillId="0" fontId="29" numFmtId="0" xfId="0" applyAlignment="1" applyBorder="1" applyFont="1">
      <alignment readingOrder="0" vertical="center"/>
    </xf>
    <xf borderId="15" fillId="3" fontId="29" numFmtId="0" xfId="0" applyAlignment="1" applyBorder="1" applyFont="1">
      <alignment horizontal="center" readingOrder="0" shrinkToFit="0" vertical="top" wrapText="1"/>
    </xf>
    <xf borderId="4" fillId="0" fontId="29" numFmtId="0" xfId="0" applyAlignment="1" applyBorder="1" applyFont="1">
      <alignment horizontal="right" readingOrder="0" shrinkToFit="0" vertical="center" wrapText="1"/>
    </xf>
    <xf borderId="95" fillId="3" fontId="6" numFmtId="0" xfId="0" applyAlignment="1" applyBorder="1" applyFont="1">
      <alignment vertical="bottom"/>
    </xf>
    <xf borderId="49" fillId="3" fontId="6" numFmtId="0" xfId="0" applyAlignment="1" applyBorder="1" applyFont="1">
      <alignment vertical="center"/>
    </xf>
    <xf borderId="50" fillId="0" fontId="29" numFmtId="0" xfId="0" applyAlignment="1" applyBorder="1" applyFont="1">
      <alignment horizontal="right" readingOrder="0" vertical="center"/>
    </xf>
    <xf borderId="5" fillId="0" fontId="3" numFmtId="0" xfId="0" applyAlignment="1" applyBorder="1" applyFont="1">
      <alignment readingOrder="0" vertical="bottom"/>
    </xf>
    <xf borderId="69" fillId="0" fontId="3" numFmtId="0" xfId="0" applyAlignment="1" applyBorder="1" applyFont="1">
      <alignment horizontal="center" shrinkToFit="0" vertical="center" wrapText="1"/>
    </xf>
    <xf borderId="69" fillId="0" fontId="3" numFmtId="0" xfId="0" applyAlignment="1" applyBorder="1" applyFont="1">
      <alignment horizontal="center" readingOrder="0" shrinkToFit="0" vertical="bottom" wrapText="1"/>
    </xf>
    <xf borderId="69" fillId="0" fontId="3" numFmtId="0" xfId="0" applyAlignment="1" applyBorder="1" applyFont="1">
      <alignment readingOrder="0" vertical="bottom"/>
    </xf>
    <xf borderId="96" fillId="3" fontId="27" numFmtId="0" xfId="0" applyAlignment="1" applyBorder="1" applyFont="1">
      <alignment shrinkToFit="0" vertical="bottom" wrapText="1"/>
    </xf>
    <xf borderId="69" fillId="0" fontId="2" numFmtId="0" xfId="0" applyAlignment="1" applyBorder="1" applyFont="1">
      <alignment vertical="bottom"/>
    </xf>
    <xf borderId="67" fillId="4" fontId="30" numFmtId="0" xfId="0" applyAlignment="1" applyBorder="1" applyFont="1">
      <alignment vertical="center"/>
    </xf>
    <xf borderId="0" fillId="0" fontId="30" numFmtId="0" xfId="0" applyAlignment="1" applyFont="1">
      <alignment vertical="center"/>
    </xf>
    <xf borderId="4" fillId="0" fontId="29" numFmtId="0" xfId="0" applyAlignment="1" applyBorder="1" applyFont="1">
      <alignment horizontal="right" vertical="center"/>
    </xf>
    <xf borderId="4" fillId="3" fontId="29" numFmtId="0" xfId="0" applyAlignment="1" applyBorder="1" applyFont="1">
      <alignment horizontal="right" vertical="center"/>
    </xf>
    <xf borderId="4" fillId="0" fontId="29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Statistics!$G$9:$I$9</c:f>
            </c:strRef>
          </c:cat>
          <c:val>
            <c:numRef>
              <c:f>Statistics!$G$74:$I$74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  <a:r>
              <a:rPr b="1" i="0" sz="110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Statistics!$D$9:$F$9</c:f>
            </c:strRef>
          </c:cat>
          <c:val>
            <c:numRef>
              <c:f>Statistics!$D$74:$F$74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81</xdr:row>
      <xdr:rowOff>28575</xdr:rowOff>
    </xdr:from>
    <xdr:ext cx="3714750" cy="2409825"/>
    <xdr:graphicFrame>
      <xdr:nvGraphicFramePr>
        <xdr:cNvPr descr="Chart 0" id="1171078407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114300</xdr:colOff>
      <xdr:row>81</xdr:row>
      <xdr:rowOff>28575</xdr:rowOff>
    </xdr:from>
    <xdr:ext cx="4248150" cy="2400300"/>
    <xdr:graphicFrame>
      <xdr:nvGraphicFramePr>
        <xdr:cNvPr descr="Chart 1" id="1465668379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9.38"/>
    <col customWidth="1" min="2" max="6" width="9.0"/>
    <col customWidth="1" min="7" max="24" width="10.0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5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2.0" customHeight="1">
      <c r="A6" s="7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9.25" customHeight="1">
      <c r="A7" s="7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0.0" customHeight="1">
      <c r="A8" s="7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8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3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0" t="s">
        <v>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7.75" customHeight="1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5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>
      <c r="A15" s="7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10" t="s">
        <v>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3.5" customHeight="1">
      <c r="A18" s="5" t="s">
        <v>14</v>
      </c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10" t="s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5" t="s">
        <v>16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7.75" customHeight="1">
      <c r="A21" s="7" t="s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>
      <c r="A22" s="5" t="s">
        <v>18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5" t="s">
        <v>19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5" t="s">
        <v>20</v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5" t="s">
        <v>21</v>
      </c>
      <c r="B25" s="5"/>
      <c r="C25" s="5" t="s">
        <v>22</v>
      </c>
      <c r="D25" s="5" t="s">
        <v>22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5" t="s">
        <v>23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5" t="s">
        <v>24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5" t="s">
        <v>25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5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0" customHeight="1">
      <c r="A30" s="5" t="s">
        <v>27</v>
      </c>
      <c r="B30" s="5"/>
      <c r="C30" s="5" t="s">
        <v>22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10" t="s">
        <v>28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0.0" customHeight="1">
      <c r="A32" s="7" t="s">
        <v>29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5" t="s">
        <v>30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5" t="s">
        <v>31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5" t="s">
        <v>32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5" t="s">
        <v>33</v>
      </c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10" t="s">
        <v>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5" t="s">
        <v>35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42.0" customHeight="1">
      <c r="A39" s="7" t="s">
        <v>36</v>
      </c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7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0" customHeight="1">
      <c r="A41" s="10" t="s">
        <v>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3.5" customHeight="1">
      <c r="A42" s="5" t="s">
        <v>38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5" t="s">
        <v>39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5" t="s">
        <v>40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5" t="s">
        <v>41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5" t="s">
        <v>42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5" t="s">
        <v>43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0" customHeight="1">
      <c r="A48" s="5" t="s">
        <v>44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8.75"/>
    <col customWidth="1" min="3" max="3" width="17.38"/>
    <col customWidth="1" min="4" max="4" width="7.5"/>
    <col customWidth="1" min="5" max="5" width="46.63"/>
    <col customWidth="1" min="6" max="6" width="48.13"/>
    <col customWidth="1" min="7" max="26" width="10.0"/>
  </cols>
  <sheetData>
    <row r="1" ht="12.75" customHeight="1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75.75" customHeight="1">
      <c r="A2" s="14"/>
      <c r="B2" s="15" t="s">
        <v>45</v>
      </c>
      <c r="C2" s="16"/>
      <c r="D2" s="16"/>
      <c r="E2" s="16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2.75" customHeight="1">
      <c r="A3" s="19"/>
      <c r="B3" s="20"/>
      <c r="C3" s="13"/>
      <c r="D3" s="13"/>
      <c r="E3" s="21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6.0" customHeight="1">
      <c r="A4" s="22" t="s">
        <v>46</v>
      </c>
      <c r="B4" s="23" t="s">
        <v>47</v>
      </c>
      <c r="C4" s="16"/>
      <c r="D4" s="17"/>
      <c r="E4" s="22" t="s">
        <v>48</v>
      </c>
      <c r="F4" s="24" t="s">
        <v>49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22" t="s">
        <v>50</v>
      </c>
      <c r="B5" s="25" t="s">
        <v>51</v>
      </c>
      <c r="C5" s="16"/>
      <c r="D5" s="17"/>
      <c r="E5" s="22" t="s">
        <v>52</v>
      </c>
      <c r="F5" s="26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27" t="s">
        <v>53</v>
      </c>
      <c r="B6" s="28" t="str">
        <f>B5&amp;"_"&amp;"TestReport"&amp;"_"&amp;"v1.0"</f>
        <v>FKOTOAI_TestReport_v1.0</v>
      </c>
      <c r="C6" s="16"/>
      <c r="D6" s="17"/>
      <c r="E6" s="22" t="s">
        <v>54</v>
      </c>
      <c r="F6" s="29">
        <v>1.0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30"/>
      <c r="B7" s="20"/>
      <c r="C7" s="13"/>
      <c r="D7" s="13"/>
      <c r="E7" s="31"/>
      <c r="F7" s="20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32" t="s">
        <v>55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33" t="s">
        <v>56</v>
      </c>
      <c r="B10" s="34" t="s">
        <v>54</v>
      </c>
      <c r="C10" s="34" t="s">
        <v>57</v>
      </c>
      <c r="D10" s="34" t="s">
        <v>58</v>
      </c>
      <c r="E10" s="34" t="s">
        <v>59</v>
      </c>
      <c r="F10" s="35" t="s">
        <v>60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26.25" customHeight="1">
      <c r="A11" s="37">
        <v>46172.0</v>
      </c>
      <c r="B11" s="38" t="s">
        <v>61</v>
      </c>
      <c r="C11" s="39"/>
      <c r="D11" s="40" t="s">
        <v>62</v>
      </c>
      <c r="E11" s="41" t="s">
        <v>63</v>
      </c>
      <c r="F11" s="42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26.25" customHeight="1">
      <c r="A12" s="37">
        <v>46175.0</v>
      </c>
      <c r="B12" s="38" t="s">
        <v>61</v>
      </c>
      <c r="C12" s="44" t="s">
        <v>64</v>
      </c>
      <c r="D12" s="45" t="s">
        <v>62</v>
      </c>
      <c r="E12" s="46" t="s">
        <v>65</v>
      </c>
      <c r="F12" s="47" t="s">
        <v>66</v>
      </c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21.75" customHeight="1">
      <c r="A13" s="37">
        <v>46178.0</v>
      </c>
      <c r="B13" s="38" t="s">
        <v>61</v>
      </c>
      <c r="C13" s="44" t="s">
        <v>64</v>
      </c>
      <c r="D13" s="45" t="s">
        <v>62</v>
      </c>
      <c r="E13" s="46" t="s">
        <v>67</v>
      </c>
      <c r="F13" s="47" t="s">
        <v>68</v>
      </c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9.5" customHeight="1">
      <c r="A14" s="37"/>
      <c r="B14" s="38" t="s">
        <v>61</v>
      </c>
      <c r="C14" s="44" t="s">
        <v>64</v>
      </c>
      <c r="D14" s="45" t="s">
        <v>62</v>
      </c>
      <c r="E14" s="46"/>
      <c r="F14" s="47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21.75" customHeight="1">
      <c r="A15" s="37"/>
      <c r="B15" s="38" t="s">
        <v>61</v>
      </c>
      <c r="C15" s="44" t="s">
        <v>64</v>
      </c>
      <c r="D15" s="45" t="s">
        <v>69</v>
      </c>
      <c r="E15" s="46"/>
      <c r="F15" s="47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9.5" customHeight="1">
      <c r="A16" s="37"/>
      <c r="B16" s="38" t="s">
        <v>61</v>
      </c>
      <c r="C16" s="44" t="s">
        <v>64</v>
      </c>
      <c r="D16" s="45" t="s">
        <v>62</v>
      </c>
      <c r="E16" s="46"/>
      <c r="F16" s="47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21.75" customHeight="1">
      <c r="A17" s="37"/>
      <c r="B17" s="38" t="s">
        <v>61</v>
      </c>
      <c r="C17" s="44" t="s">
        <v>64</v>
      </c>
      <c r="D17" s="45" t="s">
        <v>69</v>
      </c>
      <c r="E17" s="46"/>
      <c r="F17" s="47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9.5" customHeight="1">
      <c r="A18" s="37"/>
      <c r="B18" s="38" t="s">
        <v>61</v>
      </c>
      <c r="C18" s="44" t="s">
        <v>64</v>
      </c>
      <c r="D18" s="45" t="s">
        <v>62</v>
      </c>
      <c r="E18" s="46"/>
      <c r="F18" s="47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9.5" customHeight="1">
      <c r="A19" s="37"/>
      <c r="B19" s="38" t="s">
        <v>61</v>
      </c>
      <c r="C19" s="44" t="s">
        <v>64</v>
      </c>
      <c r="D19" s="45" t="s">
        <v>62</v>
      </c>
      <c r="E19" s="46"/>
      <c r="F19" s="47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9.5" customHeight="1">
      <c r="A20" s="37"/>
      <c r="B20" s="38" t="s">
        <v>61</v>
      </c>
      <c r="C20" s="44" t="s">
        <v>64</v>
      </c>
      <c r="D20" s="45" t="s">
        <v>62</v>
      </c>
      <c r="E20" s="46"/>
      <c r="F20" s="47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9.5" customHeight="1">
      <c r="A21" s="37"/>
      <c r="B21" s="38" t="s">
        <v>61</v>
      </c>
      <c r="C21" s="44" t="s">
        <v>64</v>
      </c>
      <c r="D21" s="45" t="s">
        <v>62</v>
      </c>
      <c r="E21" s="46"/>
      <c r="F21" s="47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21.75" customHeight="1">
      <c r="A22" s="37"/>
      <c r="B22" s="38" t="s">
        <v>61</v>
      </c>
      <c r="C22" s="44" t="s">
        <v>64</v>
      </c>
      <c r="D22" s="45" t="s">
        <v>69</v>
      </c>
      <c r="E22" s="46"/>
      <c r="F22" s="47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21.75" customHeight="1">
      <c r="A23" s="37"/>
      <c r="B23" s="38" t="s">
        <v>61</v>
      </c>
      <c r="C23" s="44" t="s">
        <v>64</v>
      </c>
      <c r="D23" s="45" t="s">
        <v>69</v>
      </c>
      <c r="E23" s="46"/>
      <c r="F23" s="47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21.75" customHeight="1">
      <c r="A24" s="37"/>
      <c r="B24" s="38" t="s">
        <v>61</v>
      </c>
      <c r="C24" s="44" t="s">
        <v>64</v>
      </c>
      <c r="D24" s="45" t="s">
        <v>69</v>
      </c>
      <c r="E24" s="46"/>
      <c r="F24" s="47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21.75" customHeight="1">
      <c r="A25" s="37"/>
      <c r="B25" s="38" t="s">
        <v>61</v>
      </c>
      <c r="C25" s="44" t="s">
        <v>64</v>
      </c>
      <c r="D25" s="45" t="s">
        <v>69</v>
      </c>
      <c r="E25" s="46"/>
      <c r="F25" s="47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2.75" customHeight="1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F2"/>
    <mergeCell ref="B4:D4"/>
    <mergeCell ref="B5:D5"/>
    <mergeCell ref="B6:D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19.5"/>
    <col customWidth="1" min="3" max="3" width="25.75"/>
    <col customWidth="1" min="4" max="4" width="30.0"/>
    <col customWidth="1" min="5" max="5" width="56.88"/>
    <col customWidth="1" min="6" max="6" width="63.88"/>
    <col customWidth="1" min="7" max="7" width="41.88"/>
    <col customWidth="1" min="8" max="8" width="51.38"/>
    <col customWidth="1" min="9" max="26" width="10.0"/>
  </cols>
  <sheetData>
    <row r="1" ht="12.75" customHeight="1">
      <c r="A1" s="48"/>
      <c r="B1" s="48"/>
      <c r="C1" s="48"/>
      <c r="D1" s="49"/>
      <c r="E1" s="50"/>
      <c r="F1" s="49"/>
      <c r="G1" s="49"/>
      <c r="H1" s="49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4.75" customHeight="1">
      <c r="A2" s="48"/>
      <c r="B2" s="48"/>
      <c r="C2" s="48"/>
      <c r="D2" s="49"/>
      <c r="E2" s="51" t="s">
        <v>70</v>
      </c>
      <c r="F2" s="51"/>
      <c r="G2" s="52"/>
      <c r="H2" s="49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3.5" customHeight="1">
      <c r="A3" s="48"/>
      <c r="B3" s="48"/>
      <c r="C3" s="48"/>
      <c r="D3" s="49"/>
      <c r="E3" s="50"/>
      <c r="F3" s="53"/>
      <c r="G3" s="53"/>
      <c r="H3" s="49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4.25" customHeight="1">
      <c r="A4" s="54" t="s">
        <v>46</v>
      </c>
      <c r="B4" s="16"/>
      <c r="C4" s="16"/>
      <c r="D4" s="16"/>
      <c r="E4" s="55" t="str">
        <f>Cover!B4</f>
        <v>Smart Japanese language learning app with AI.</v>
      </c>
      <c r="F4" s="16"/>
      <c r="G4" s="16"/>
      <c r="H4" s="17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4.25" customHeight="1">
      <c r="A5" s="54" t="s">
        <v>50</v>
      </c>
      <c r="B5" s="16"/>
      <c r="C5" s="16"/>
      <c r="D5" s="16"/>
      <c r="E5" s="55" t="str">
        <f>Cover!B5</f>
        <v>FKOTOAI</v>
      </c>
      <c r="F5" s="16"/>
      <c r="G5" s="16"/>
      <c r="H5" s="17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4.25" customHeight="1">
      <c r="A6" s="56" t="s">
        <v>71</v>
      </c>
      <c r="B6" s="16"/>
      <c r="C6" s="16"/>
      <c r="D6" s="17"/>
      <c r="E6" s="57">
        <v>100.0</v>
      </c>
      <c r="F6" s="58"/>
      <c r="G6" s="58"/>
      <c r="H6" s="59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2.75" customHeight="1">
      <c r="A7" s="60" t="s">
        <v>72</v>
      </c>
      <c r="B7" s="16"/>
      <c r="C7" s="16"/>
      <c r="D7" s="17"/>
      <c r="E7" s="61" t="s">
        <v>73</v>
      </c>
      <c r="F7" s="16"/>
      <c r="G7" s="16"/>
      <c r="H7" s="17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2.75" customHeight="1">
      <c r="A8" s="63"/>
      <c r="B8" s="63"/>
      <c r="C8" s="63"/>
      <c r="D8" s="21"/>
      <c r="E8" s="6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75" customHeight="1">
      <c r="A9" s="64"/>
      <c r="B9" s="64"/>
      <c r="C9" s="64"/>
      <c r="D9" s="65"/>
      <c r="E9" s="66"/>
      <c r="F9" s="65"/>
      <c r="G9" s="65"/>
      <c r="H9" s="65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ht="24.0" customHeight="1">
      <c r="A10" s="68" t="s">
        <v>74</v>
      </c>
      <c r="B10" s="69" t="s">
        <v>75</v>
      </c>
      <c r="C10" s="70" t="s">
        <v>76</v>
      </c>
      <c r="D10" s="71" t="s">
        <v>77</v>
      </c>
      <c r="E10" s="72" t="s">
        <v>78</v>
      </c>
      <c r="F10" s="73" t="s">
        <v>79</v>
      </c>
      <c r="G10" s="65"/>
      <c r="H10" s="65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ht="13.5" customHeight="1">
      <c r="A11" s="75">
        <v>1.0</v>
      </c>
      <c r="B11" s="76" t="s">
        <v>80</v>
      </c>
      <c r="C11" s="77" t="s">
        <v>81</v>
      </c>
      <c r="D11" s="78" t="s">
        <v>82</v>
      </c>
      <c r="E11" s="79" t="s">
        <v>83</v>
      </c>
      <c r="F11" s="80" t="s">
        <v>84</v>
      </c>
      <c r="G11" s="65"/>
      <c r="H11" s="65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3.5" customHeight="1">
      <c r="A12" s="75">
        <v>2.0</v>
      </c>
      <c r="B12" s="81"/>
      <c r="C12" s="77" t="s">
        <v>85</v>
      </c>
      <c r="D12" s="82"/>
      <c r="E12" s="79" t="s">
        <v>86</v>
      </c>
      <c r="F12" s="80" t="s">
        <v>87</v>
      </c>
      <c r="G12" s="65"/>
      <c r="H12" s="65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3.5" customHeight="1">
      <c r="A13" s="75"/>
      <c r="B13" s="81"/>
      <c r="C13" s="77" t="s">
        <v>88</v>
      </c>
      <c r="D13" s="82"/>
      <c r="E13" s="79"/>
      <c r="F13" s="83"/>
      <c r="G13" s="65"/>
      <c r="H13" s="65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3.5" customHeight="1">
      <c r="A14" s="75"/>
      <c r="B14" s="81"/>
      <c r="C14" s="77" t="s">
        <v>89</v>
      </c>
      <c r="D14" s="82"/>
      <c r="E14" s="79"/>
      <c r="F14" s="83"/>
      <c r="G14" s="65"/>
      <c r="H14" s="65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2.75" customHeight="1">
      <c r="A15" s="84">
        <v>3.0</v>
      </c>
      <c r="B15" s="85"/>
      <c r="C15" s="77" t="s">
        <v>90</v>
      </c>
      <c r="D15" s="82"/>
      <c r="E15" s="86" t="s">
        <v>91</v>
      </c>
      <c r="F15" s="87" t="s">
        <v>92</v>
      </c>
      <c r="G15" s="65"/>
      <c r="H15" s="65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2.75" customHeight="1">
      <c r="A16" s="84">
        <v>4.0</v>
      </c>
      <c r="B16" s="76" t="s">
        <v>93</v>
      </c>
      <c r="C16" s="77" t="s">
        <v>94</v>
      </c>
      <c r="D16" s="82"/>
      <c r="E16" s="79" t="s">
        <v>95</v>
      </c>
      <c r="F16" s="88" t="s">
        <v>96</v>
      </c>
      <c r="G16" s="65"/>
      <c r="H16" s="65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2.75" customHeight="1">
      <c r="A17" s="84">
        <v>5.0</v>
      </c>
      <c r="B17" s="89"/>
      <c r="C17" s="90" t="s">
        <v>97</v>
      </c>
      <c r="D17" s="91"/>
      <c r="E17" s="79" t="s">
        <v>98</v>
      </c>
      <c r="F17" s="88" t="s">
        <v>99</v>
      </c>
      <c r="G17" s="65"/>
      <c r="H17" s="65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2.75" customHeight="1">
      <c r="A18" s="75">
        <v>6.0</v>
      </c>
      <c r="B18" s="92" t="s">
        <v>100</v>
      </c>
      <c r="C18" s="93" t="s">
        <v>101</v>
      </c>
      <c r="D18" s="91"/>
      <c r="E18" s="94" t="s">
        <v>102</v>
      </c>
      <c r="F18" s="95" t="s">
        <v>103</v>
      </c>
      <c r="G18" s="65"/>
      <c r="H18" s="65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75" customHeight="1">
      <c r="A19" s="75">
        <v>7.0</v>
      </c>
      <c r="B19" s="96"/>
      <c r="C19" s="93" t="s">
        <v>104</v>
      </c>
      <c r="D19" s="91"/>
      <c r="E19" s="94" t="s">
        <v>105</v>
      </c>
      <c r="F19" s="95" t="s">
        <v>106</v>
      </c>
      <c r="G19" s="65"/>
      <c r="H19" s="65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2.75" customHeight="1">
      <c r="A20" s="97">
        <v>8.0</v>
      </c>
      <c r="B20" s="96"/>
      <c r="C20" s="93" t="s">
        <v>107</v>
      </c>
      <c r="D20" s="91"/>
      <c r="E20" s="94" t="s">
        <v>108</v>
      </c>
      <c r="F20" s="95" t="s">
        <v>109</v>
      </c>
      <c r="G20" s="65"/>
      <c r="H20" s="65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75" customHeight="1">
      <c r="A21" s="75">
        <v>9.0</v>
      </c>
      <c r="B21" s="96"/>
      <c r="C21" s="93" t="s">
        <v>110</v>
      </c>
      <c r="D21" s="91"/>
      <c r="E21" s="94" t="s">
        <v>111</v>
      </c>
      <c r="F21" s="95" t="s">
        <v>112</v>
      </c>
      <c r="G21" s="65"/>
      <c r="H21" s="65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2.75" customHeight="1">
      <c r="A22" s="75">
        <v>10.0</v>
      </c>
      <c r="B22" s="96"/>
      <c r="C22" s="93" t="s">
        <v>113</v>
      </c>
      <c r="D22" s="91"/>
      <c r="E22" s="94" t="s">
        <v>114</v>
      </c>
      <c r="F22" s="88" t="s">
        <v>115</v>
      </c>
      <c r="G22" s="65"/>
      <c r="H22" s="65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2.75" customHeight="1">
      <c r="A23" s="84">
        <v>11.0</v>
      </c>
      <c r="B23" s="98" t="s">
        <v>116</v>
      </c>
      <c r="C23" s="99" t="s">
        <v>117</v>
      </c>
      <c r="D23" s="91"/>
      <c r="E23" s="94" t="s">
        <v>118</v>
      </c>
      <c r="F23" s="87" t="s">
        <v>119</v>
      </c>
      <c r="G23" s="100"/>
      <c r="H23" s="101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12.75" customHeight="1">
      <c r="A24" s="103">
        <v>12.0</v>
      </c>
      <c r="B24" s="104" t="s">
        <v>120</v>
      </c>
      <c r="C24" s="105" t="s">
        <v>121</v>
      </c>
      <c r="D24" s="91"/>
      <c r="E24" s="94" t="s">
        <v>122</v>
      </c>
      <c r="F24" s="106" t="s">
        <v>123</v>
      </c>
      <c r="G24" s="107"/>
      <c r="H24" s="107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2.75" customHeight="1">
      <c r="A25" s="84">
        <v>13.0</v>
      </c>
      <c r="B25" s="109"/>
      <c r="C25" s="105" t="s">
        <v>124</v>
      </c>
      <c r="D25" s="91"/>
      <c r="E25" s="94" t="s">
        <v>125</v>
      </c>
      <c r="F25" s="106" t="s">
        <v>126</v>
      </c>
      <c r="G25" s="107"/>
      <c r="H25" s="107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2.75" customHeight="1">
      <c r="A26" s="84">
        <v>14.0</v>
      </c>
      <c r="B26" s="110"/>
      <c r="C26" s="105" t="s">
        <v>127</v>
      </c>
      <c r="D26" s="91"/>
      <c r="E26" s="94" t="s">
        <v>128</v>
      </c>
      <c r="F26" s="106" t="s">
        <v>129</v>
      </c>
      <c r="G26" s="107"/>
      <c r="H26" s="107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2.75" customHeight="1">
      <c r="A27" s="84">
        <v>15.0</v>
      </c>
      <c r="B27" s="104" t="s">
        <v>130</v>
      </c>
      <c r="C27" s="105" t="s">
        <v>131</v>
      </c>
      <c r="D27" s="91"/>
      <c r="E27" s="94" t="s">
        <v>132</v>
      </c>
      <c r="F27" s="106" t="s">
        <v>133</v>
      </c>
      <c r="G27" s="107"/>
      <c r="H27" s="107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2.75" customHeight="1">
      <c r="A28" s="84">
        <v>16.0</v>
      </c>
      <c r="B28" s="109"/>
      <c r="C28" s="105" t="s">
        <v>134</v>
      </c>
      <c r="D28" s="91"/>
      <c r="E28" s="94" t="s">
        <v>135</v>
      </c>
      <c r="F28" s="106" t="s">
        <v>136</v>
      </c>
      <c r="G28" s="107"/>
      <c r="H28" s="107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2.75" customHeight="1">
      <c r="A29" s="103">
        <v>17.0</v>
      </c>
      <c r="B29" s="109"/>
      <c r="C29" s="105" t="s">
        <v>137</v>
      </c>
      <c r="D29" s="91"/>
      <c r="E29" s="94" t="s">
        <v>138</v>
      </c>
      <c r="F29" s="106" t="s">
        <v>139</v>
      </c>
      <c r="G29" s="107"/>
      <c r="H29" s="107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2.75" customHeight="1">
      <c r="A30" s="103">
        <v>18.0</v>
      </c>
      <c r="B30" s="110"/>
      <c r="C30" s="105" t="s">
        <v>140</v>
      </c>
      <c r="D30" s="91"/>
      <c r="E30" s="94" t="s">
        <v>141</v>
      </c>
      <c r="F30" s="94" t="s">
        <v>115</v>
      </c>
      <c r="G30" s="107"/>
      <c r="H30" s="107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2.75" customHeight="1">
      <c r="A31" s="84">
        <v>19.0</v>
      </c>
      <c r="B31" s="104" t="s">
        <v>142</v>
      </c>
      <c r="C31" s="105" t="s">
        <v>143</v>
      </c>
      <c r="D31" s="91"/>
      <c r="E31" s="94" t="s">
        <v>144</v>
      </c>
      <c r="F31" s="106" t="s">
        <v>145</v>
      </c>
      <c r="G31" s="107"/>
      <c r="H31" s="107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2.75" customHeight="1">
      <c r="A32" s="84">
        <v>20.0</v>
      </c>
      <c r="B32" s="110"/>
      <c r="C32" s="105" t="s">
        <v>146</v>
      </c>
      <c r="D32" s="91"/>
      <c r="E32" s="94" t="s">
        <v>147</v>
      </c>
      <c r="F32" s="106" t="s">
        <v>148</v>
      </c>
      <c r="G32" s="107"/>
      <c r="H32" s="107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2.75" customHeight="1">
      <c r="A33" s="84">
        <v>21.0</v>
      </c>
      <c r="B33" s="104" t="s">
        <v>149</v>
      </c>
      <c r="C33" s="105" t="s">
        <v>150</v>
      </c>
      <c r="D33" s="91"/>
      <c r="E33" s="94" t="s">
        <v>151</v>
      </c>
      <c r="F33" s="94" t="s">
        <v>152</v>
      </c>
      <c r="G33" s="107"/>
      <c r="H33" s="107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2.75" customHeight="1">
      <c r="A34" s="84">
        <v>22.0</v>
      </c>
      <c r="B34" s="110"/>
      <c r="C34" s="105" t="s">
        <v>153</v>
      </c>
      <c r="D34" s="91"/>
      <c r="E34" s="94" t="s">
        <v>154</v>
      </c>
      <c r="F34" s="94" t="s">
        <v>115</v>
      </c>
      <c r="G34" s="107"/>
      <c r="H34" s="107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2.75" customHeight="1">
      <c r="A35" s="103">
        <v>23.0</v>
      </c>
      <c r="B35" s="104" t="s">
        <v>155</v>
      </c>
      <c r="C35" s="105" t="s">
        <v>156</v>
      </c>
      <c r="D35" s="91"/>
      <c r="E35" s="94" t="s">
        <v>157</v>
      </c>
      <c r="F35" s="94" t="s">
        <v>115</v>
      </c>
      <c r="G35" s="107"/>
      <c r="H35" s="107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2.75" customHeight="1">
      <c r="A36" s="84">
        <v>24.0</v>
      </c>
      <c r="B36" s="110"/>
      <c r="C36" s="111"/>
      <c r="D36" s="91"/>
      <c r="E36" s="94"/>
      <c r="F36" s="112"/>
      <c r="G36" s="107"/>
      <c r="H36" s="107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2.75" customHeight="1">
      <c r="A37" s="113"/>
      <c r="B37" s="114"/>
      <c r="C37" s="115"/>
      <c r="D37" s="116"/>
      <c r="E37" s="117"/>
      <c r="F37" s="118"/>
      <c r="G37" s="119"/>
      <c r="H37" s="120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ht="12.75" customHeight="1">
      <c r="A38" s="113"/>
      <c r="B38" s="114"/>
      <c r="C38" s="115"/>
      <c r="D38" s="116"/>
      <c r="E38" s="117"/>
      <c r="F38" s="118"/>
      <c r="G38" s="122"/>
      <c r="H38" s="65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75" customHeight="1">
      <c r="A39" s="123"/>
      <c r="B39" s="48"/>
      <c r="C39" s="48"/>
      <c r="D39" s="49"/>
      <c r="E39" s="50"/>
      <c r="F39" s="49"/>
      <c r="G39" s="49"/>
      <c r="H39" s="49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2.75" customHeight="1">
      <c r="A40" s="48"/>
      <c r="B40" s="48"/>
      <c r="C40" s="48"/>
      <c r="D40" s="49"/>
      <c r="E40" s="50"/>
      <c r="F40" s="49"/>
      <c r="G40" s="49"/>
      <c r="H40" s="49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75" customHeight="1">
      <c r="A41" s="48"/>
      <c r="B41" s="48"/>
      <c r="C41" s="48"/>
      <c r="D41" s="49"/>
      <c r="E41" s="50"/>
      <c r="F41" s="49"/>
      <c r="G41" s="49"/>
      <c r="H41" s="49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75" customHeight="1">
      <c r="A42" s="48"/>
      <c r="B42" s="48"/>
      <c r="C42" s="48"/>
      <c r="D42" s="49"/>
      <c r="E42" s="50"/>
      <c r="F42" s="49"/>
      <c r="G42" s="49"/>
      <c r="H42" s="49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75" customHeight="1">
      <c r="A43" s="48"/>
      <c r="B43" s="48"/>
      <c r="C43" s="48"/>
      <c r="D43" s="49"/>
      <c r="E43" s="50"/>
      <c r="F43" s="49"/>
      <c r="G43" s="49"/>
      <c r="H43" s="49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75" customHeight="1">
      <c r="A44" s="48"/>
      <c r="B44" s="48"/>
      <c r="C44" s="48"/>
      <c r="D44" s="49"/>
      <c r="E44" s="50"/>
      <c r="F44" s="49"/>
      <c r="G44" s="49"/>
      <c r="H44" s="49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75" customHeight="1">
      <c r="A45" s="48"/>
      <c r="B45" s="48"/>
      <c r="C45" s="48"/>
      <c r="D45" s="49"/>
      <c r="E45" s="50"/>
      <c r="F45" s="49"/>
      <c r="G45" s="49"/>
      <c r="H45" s="4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75" customHeight="1">
      <c r="A46" s="48"/>
      <c r="B46" s="48"/>
      <c r="C46" s="48"/>
      <c r="D46" s="49"/>
      <c r="E46" s="50"/>
      <c r="F46" s="49"/>
      <c r="G46" s="49"/>
      <c r="H46" s="49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75" customHeight="1">
      <c r="A47" s="48"/>
      <c r="B47" s="48"/>
      <c r="C47" s="48"/>
      <c r="D47" s="49"/>
      <c r="E47" s="50"/>
      <c r="F47" s="49"/>
      <c r="G47" s="49"/>
      <c r="H47" s="49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75" customHeight="1">
      <c r="A48" s="48"/>
      <c r="B48" s="48"/>
      <c r="C48" s="48"/>
      <c r="D48" s="49"/>
      <c r="E48" s="50"/>
      <c r="F48" s="49"/>
      <c r="G48" s="49"/>
      <c r="H48" s="49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75" customHeight="1">
      <c r="A49" s="48"/>
      <c r="B49" s="48"/>
      <c r="C49" s="48"/>
      <c r="D49" s="49"/>
      <c r="E49" s="50"/>
      <c r="F49" s="49"/>
      <c r="G49" s="49"/>
      <c r="H49" s="49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75" customHeight="1">
      <c r="A50" s="48"/>
      <c r="B50" s="48"/>
      <c r="C50" s="48"/>
      <c r="D50" s="49"/>
      <c r="E50" s="50"/>
      <c r="F50" s="49"/>
      <c r="G50" s="49"/>
      <c r="H50" s="49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75" customHeight="1">
      <c r="A51" s="48"/>
      <c r="B51" s="48"/>
      <c r="C51" s="48"/>
      <c r="D51" s="49"/>
      <c r="E51" s="50"/>
      <c r="F51" s="49"/>
      <c r="G51" s="49"/>
      <c r="H51" s="49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75" customHeight="1">
      <c r="A52" s="48"/>
      <c r="B52" s="48"/>
      <c r="C52" s="48"/>
      <c r="D52" s="49"/>
      <c r="E52" s="50"/>
      <c r="F52" s="49"/>
      <c r="G52" s="49"/>
      <c r="H52" s="49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75" customHeight="1">
      <c r="A53" s="48"/>
      <c r="B53" s="48"/>
      <c r="C53" s="48"/>
      <c r="D53" s="49"/>
      <c r="E53" s="50"/>
      <c r="F53" s="49"/>
      <c r="G53" s="49"/>
      <c r="H53" s="49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75" customHeight="1">
      <c r="A54" s="48"/>
      <c r="B54" s="48"/>
      <c r="C54" s="48"/>
      <c r="D54" s="49"/>
      <c r="E54" s="50"/>
      <c r="F54" s="49"/>
      <c r="G54" s="49"/>
      <c r="H54" s="49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75" customHeight="1">
      <c r="A55" s="48"/>
      <c r="B55" s="48"/>
      <c r="C55" s="48"/>
      <c r="D55" s="49"/>
      <c r="E55" s="50"/>
      <c r="F55" s="49"/>
      <c r="G55" s="49"/>
      <c r="H55" s="49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75" customHeight="1">
      <c r="A56" s="48"/>
      <c r="B56" s="48"/>
      <c r="C56" s="48"/>
      <c r="D56" s="49"/>
      <c r="E56" s="50"/>
      <c r="F56" s="49"/>
      <c r="G56" s="49"/>
      <c r="H56" s="49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75" customHeight="1">
      <c r="A57" s="48"/>
      <c r="B57" s="48"/>
      <c r="C57" s="48"/>
      <c r="D57" s="49"/>
      <c r="E57" s="50"/>
      <c r="F57" s="49"/>
      <c r="G57" s="49"/>
      <c r="H57" s="49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75" customHeight="1">
      <c r="A58" s="48"/>
      <c r="B58" s="48"/>
      <c r="C58" s="48"/>
      <c r="D58" s="49"/>
      <c r="E58" s="50"/>
      <c r="F58" s="49"/>
      <c r="G58" s="49"/>
      <c r="H58" s="49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75" customHeight="1">
      <c r="A59" s="48"/>
      <c r="B59" s="48"/>
      <c r="C59" s="48"/>
      <c r="D59" s="49"/>
      <c r="E59" s="50"/>
      <c r="F59" s="49"/>
      <c r="G59" s="49"/>
      <c r="H59" s="49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75" customHeight="1">
      <c r="A60" s="48"/>
      <c r="B60" s="48"/>
      <c r="C60" s="48"/>
      <c r="D60" s="49"/>
      <c r="E60" s="50"/>
      <c r="F60" s="49"/>
      <c r="G60" s="49"/>
      <c r="H60" s="49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75" customHeight="1">
      <c r="A61" s="48"/>
      <c r="B61" s="48"/>
      <c r="C61" s="48"/>
      <c r="D61" s="49"/>
      <c r="E61" s="50"/>
      <c r="F61" s="49"/>
      <c r="G61" s="49"/>
      <c r="H61" s="49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75" customHeight="1">
      <c r="A62" s="48"/>
      <c r="B62" s="48"/>
      <c r="C62" s="48"/>
      <c r="D62" s="49"/>
      <c r="E62" s="50"/>
      <c r="F62" s="49"/>
      <c r="G62" s="49"/>
      <c r="H62" s="49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75" customHeight="1">
      <c r="A63" s="48"/>
      <c r="B63" s="48"/>
      <c r="C63" s="48"/>
      <c r="D63" s="49"/>
      <c r="E63" s="50"/>
      <c r="F63" s="49"/>
      <c r="G63" s="49"/>
      <c r="H63" s="49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75" customHeight="1">
      <c r="A64" s="48"/>
      <c r="B64" s="48"/>
      <c r="C64" s="48"/>
      <c r="D64" s="49"/>
      <c r="E64" s="50"/>
      <c r="F64" s="49"/>
      <c r="G64" s="49"/>
      <c r="H64" s="49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75" customHeight="1">
      <c r="A65" s="48"/>
      <c r="B65" s="48"/>
      <c r="C65" s="48"/>
      <c r="D65" s="49"/>
      <c r="E65" s="50"/>
      <c r="F65" s="49"/>
      <c r="G65" s="49"/>
      <c r="H65" s="49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75" customHeight="1">
      <c r="A66" s="48"/>
      <c r="B66" s="48"/>
      <c r="C66" s="48"/>
      <c r="D66" s="49"/>
      <c r="E66" s="50"/>
      <c r="F66" s="49"/>
      <c r="G66" s="49"/>
      <c r="H66" s="49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75" customHeight="1">
      <c r="A67" s="48"/>
      <c r="B67" s="48"/>
      <c r="C67" s="48"/>
      <c r="D67" s="49"/>
      <c r="E67" s="50"/>
      <c r="F67" s="49"/>
      <c r="G67" s="49"/>
      <c r="H67" s="49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75" customHeight="1">
      <c r="A68" s="48"/>
      <c r="B68" s="48"/>
      <c r="C68" s="48"/>
      <c r="D68" s="49"/>
      <c r="E68" s="50"/>
      <c r="F68" s="49"/>
      <c r="G68" s="49"/>
      <c r="H68" s="49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75" customHeight="1">
      <c r="A69" s="48"/>
      <c r="B69" s="48"/>
      <c r="C69" s="48"/>
      <c r="D69" s="49"/>
      <c r="E69" s="50"/>
      <c r="F69" s="49"/>
      <c r="G69" s="49"/>
      <c r="H69" s="49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75" customHeight="1">
      <c r="A70" s="48"/>
      <c r="B70" s="48"/>
      <c r="C70" s="48"/>
      <c r="D70" s="49"/>
      <c r="E70" s="50"/>
      <c r="F70" s="49"/>
      <c r="G70" s="49"/>
      <c r="H70" s="49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75" customHeight="1">
      <c r="A71" s="48"/>
      <c r="B71" s="48"/>
      <c r="C71" s="48"/>
      <c r="D71" s="49"/>
      <c r="E71" s="50"/>
      <c r="F71" s="49"/>
      <c r="G71" s="49"/>
      <c r="H71" s="49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75" customHeight="1">
      <c r="A72" s="48"/>
      <c r="B72" s="48"/>
      <c r="C72" s="48"/>
      <c r="D72" s="49"/>
      <c r="E72" s="50"/>
      <c r="F72" s="49"/>
      <c r="G72" s="49"/>
      <c r="H72" s="49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75" customHeight="1">
      <c r="A73" s="48"/>
      <c r="B73" s="48"/>
      <c r="C73" s="48"/>
      <c r="D73" s="49"/>
      <c r="E73" s="50"/>
      <c r="F73" s="49"/>
      <c r="G73" s="49"/>
      <c r="H73" s="49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75" customHeight="1">
      <c r="A74" s="48"/>
      <c r="B74" s="48"/>
      <c r="C74" s="48"/>
      <c r="D74" s="49"/>
      <c r="E74" s="50"/>
      <c r="F74" s="49"/>
      <c r="G74" s="49"/>
      <c r="H74" s="49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75" customHeight="1">
      <c r="A75" s="48"/>
      <c r="B75" s="48"/>
      <c r="C75" s="48"/>
      <c r="D75" s="49"/>
      <c r="E75" s="50"/>
      <c r="F75" s="49"/>
      <c r="G75" s="49"/>
      <c r="H75" s="49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75" customHeight="1">
      <c r="A76" s="48"/>
      <c r="B76" s="48"/>
      <c r="C76" s="48"/>
      <c r="D76" s="49"/>
      <c r="E76" s="50"/>
      <c r="F76" s="49"/>
      <c r="G76" s="49"/>
      <c r="H76" s="49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75" customHeight="1">
      <c r="A77" s="48"/>
      <c r="B77" s="48"/>
      <c r="C77" s="48"/>
      <c r="D77" s="49"/>
      <c r="E77" s="50"/>
      <c r="F77" s="49"/>
      <c r="G77" s="49"/>
      <c r="H77" s="49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75" customHeight="1">
      <c r="A78" s="48"/>
      <c r="B78" s="48"/>
      <c r="C78" s="48"/>
      <c r="D78" s="49"/>
      <c r="E78" s="50"/>
      <c r="F78" s="49"/>
      <c r="G78" s="49"/>
      <c r="H78" s="49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75" customHeight="1">
      <c r="A79" s="48"/>
      <c r="B79" s="48"/>
      <c r="C79" s="48"/>
      <c r="D79" s="49"/>
      <c r="E79" s="50"/>
      <c r="F79" s="49"/>
      <c r="G79" s="49"/>
      <c r="H79" s="49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75" customHeight="1">
      <c r="A80" s="48"/>
      <c r="B80" s="48"/>
      <c r="C80" s="48"/>
      <c r="D80" s="49"/>
      <c r="E80" s="50"/>
      <c r="F80" s="49"/>
      <c r="G80" s="49"/>
      <c r="H80" s="49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75" customHeight="1">
      <c r="A81" s="48"/>
      <c r="B81" s="48"/>
      <c r="C81" s="48"/>
      <c r="D81" s="49"/>
      <c r="E81" s="50"/>
      <c r="F81" s="49"/>
      <c r="G81" s="49"/>
      <c r="H81" s="49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75" customHeight="1">
      <c r="A82" s="48"/>
      <c r="B82" s="48"/>
      <c r="C82" s="48"/>
      <c r="D82" s="49"/>
      <c r="E82" s="50"/>
      <c r="F82" s="49"/>
      <c r="G82" s="49"/>
      <c r="H82" s="49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75" customHeight="1">
      <c r="A83" s="48"/>
      <c r="B83" s="48"/>
      <c r="C83" s="48"/>
      <c r="D83" s="49"/>
      <c r="E83" s="50"/>
      <c r="F83" s="49"/>
      <c r="G83" s="49"/>
      <c r="H83" s="49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75" customHeight="1">
      <c r="A84" s="48"/>
      <c r="B84" s="48"/>
      <c r="C84" s="48"/>
      <c r="D84" s="49"/>
      <c r="E84" s="50"/>
      <c r="F84" s="49"/>
      <c r="G84" s="49"/>
      <c r="H84" s="49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75" customHeight="1">
      <c r="A85" s="48"/>
      <c r="B85" s="48"/>
      <c r="C85" s="48"/>
      <c r="D85" s="49"/>
      <c r="E85" s="50"/>
      <c r="F85" s="49"/>
      <c r="G85" s="49"/>
      <c r="H85" s="49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75" customHeight="1">
      <c r="A86" s="48"/>
      <c r="B86" s="48"/>
      <c r="C86" s="48"/>
      <c r="D86" s="49"/>
      <c r="E86" s="50"/>
      <c r="F86" s="49"/>
      <c r="G86" s="49"/>
      <c r="H86" s="49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75" customHeight="1">
      <c r="A87" s="48"/>
      <c r="B87" s="48"/>
      <c r="C87" s="48"/>
      <c r="D87" s="49"/>
      <c r="E87" s="50"/>
      <c r="F87" s="49"/>
      <c r="G87" s="49"/>
      <c r="H87" s="49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75" customHeight="1">
      <c r="A88" s="48"/>
      <c r="B88" s="48"/>
      <c r="C88" s="48"/>
      <c r="D88" s="49"/>
      <c r="E88" s="50"/>
      <c r="F88" s="49"/>
      <c r="G88" s="49"/>
      <c r="H88" s="49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75" customHeight="1">
      <c r="A89" s="48"/>
      <c r="B89" s="48"/>
      <c r="C89" s="48"/>
      <c r="D89" s="49"/>
      <c r="E89" s="50"/>
      <c r="F89" s="49"/>
      <c r="G89" s="49"/>
      <c r="H89" s="49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75" customHeight="1">
      <c r="A90" s="48"/>
      <c r="B90" s="48"/>
      <c r="C90" s="48"/>
      <c r="D90" s="49"/>
      <c r="E90" s="50"/>
      <c r="F90" s="49"/>
      <c r="G90" s="49"/>
      <c r="H90" s="49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75" customHeight="1">
      <c r="A91" s="48"/>
      <c r="B91" s="48"/>
      <c r="C91" s="48"/>
      <c r="D91" s="49"/>
      <c r="E91" s="50"/>
      <c r="F91" s="49"/>
      <c r="G91" s="49"/>
      <c r="H91" s="49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75" customHeight="1">
      <c r="A92" s="48"/>
      <c r="B92" s="48"/>
      <c r="C92" s="48"/>
      <c r="D92" s="49"/>
      <c r="E92" s="50"/>
      <c r="F92" s="49"/>
      <c r="G92" s="49"/>
      <c r="H92" s="49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75" customHeight="1">
      <c r="A93" s="48"/>
      <c r="B93" s="48"/>
      <c r="C93" s="48"/>
      <c r="D93" s="49"/>
      <c r="E93" s="50"/>
      <c r="F93" s="49"/>
      <c r="G93" s="49"/>
      <c r="H93" s="49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75" customHeight="1">
      <c r="A94" s="48"/>
      <c r="B94" s="48"/>
      <c r="C94" s="48"/>
      <c r="D94" s="49"/>
      <c r="E94" s="50"/>
      <c r="F94" s="49"/>
      <c r="G94" s="49"/>
      <c r="H94" s="49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75" customHeight="1">
      <c r="A95" s="48"/>
      <c r="B95" s="48"/>
      <c r="C95" s="48"/>
      <c r="D95" s="49"/>
      <c r="E95" s="50"/>
      <c r="F95" s="49"/>
      <c r="G95" s="49"/>
      <c r="H95" s="49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75" customHeight="1">
      <c r="A96" s="48"/>
      <c r="B96" s="48"/>
      <c r="C96" s="48"/>
      <c r="D96" s="49"/>
      <c r="E96" s="50"/>
      <c r="F96" s="49"/>
      <c r="G96" s="49"/>
      <c r="H96" s="49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75" customHeight="1">
      <c r="A97" s="48"/>
      <c r="B97" s="48"/>
      <c r="C97" s="48"/>
      <c r="D97" s="49"/>
      <c r="E97" s="50"/>
      <c r="F97" s="49"/>
      <c r="G97" s="49"/>
      <c r="H97" s="49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75" customHeight="1">
      <c r="A98" s="48"/>
      <c r="B98" s="48"/>
      <c r="C98" s="48"/>
      <c r="D98" s="49"/>
      <c r="E98" s="50"/>
      <c r="F98" s="49"/>
      <c r="G98" s="49"/>
      <c r="H98" s="49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75" customHeight="1">
      <c r="A99" s="48"/>
      <c r="B99" s="48"/>
      <c r="C99" s="48"/>
      <c r="D99" s="49"/>
      <c r="E99" s="50"/>
      <c r="F99" s="49"/>
      <c r="G99" s="49"/>
      <c r="H99" s="49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75" customHeight="1">
      <c r="A100" s="48"/>
      <c r="B100" s="48"/>
      <c r="C100" s="48"/>
      <c r="D100" s="49"/>
      <c r="E100" s="50"/>
      <c r="F100" s="49"/>
      <c r="G100" s="49"/>
      <c r="H100" s="49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75" customHeight="1">
      <c r="A101" s="48"/>
      <c r="B101" s="48"/>
      <c r="C101" s="48"/>
      <c r="D101" s="49"/>
      <c r="E101" s="50"/>
      <c r="F101" s="49"/>
      <c r="G101" s="49"/>
      <c r="H101" s="49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75" customHeight="1">
      <c r="A102" s="48"/>
      <c r="B102" s="48"/>
      <c r="C102" s="48"/>
      <c r="D102" s="49"/>
      <c r="E102" s="50"/>
      <c r="F102" s="49"/>
      <c r="G102" s="49"/>
      <c r="H102" s="49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75" customHeight="1">
      <c r="A103" s="48"/>
      <c r="B103" s="48"/>
      <c r="C103" s="48"/>
      <c r="D103" s="49"/>
      <c r="E103" s="50"/>
      <c r="F103" s="49"/>
      <c r="G103" s="49"/>
      <c r="H103" s="49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48"/>
      <c r="B104" s="48"/>
      <c r="C104" s="48"/>
      <c r="D104" s="49"/>
      <c r="E104" s="50"/>
      <c r="F104" s="49"/>
      <c r="G104" s="49"/>
      <c r="H104" s="49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48"/>
      <c r="B105" s="48"/>
      <c r="C105" s="48"/>
      <c r="D105" s="49"/>
      <c r="E105" s="50"/>
      <c r="F105" s="49"/>
      <c r="G105" s="49"/>
      <c r="H105" s="49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48"/>
      <c r="B106" s="48"/>
      <c r="C106" s="48"/>
      <c r="D106" s="49"/>
      <c r="E106" s="50"/>
      <c r="F106" s="49"/>
      <c r="G106" s="49"/>
      <c r="H106" s="49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48"/>
      <c r="B107" s="48"/>
      <c r="C107" s="48"/>
      <c r="D107" s="49"/>
      <c r="E107" s="50"/>
      <c r="F107" s="49"/>
      <c r="G107" s="49"/>
      <c r="H107" s="49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48"/>
      <c r="B108" s="48"/>
      <c r="C108" s="48"/>
      <c r="D108" s="49"/>
      <c r="E108" s="50"/>
      <c r="F108" s="49"/>
      <c r="G108" s="49"/>
      <c r="H108" s="49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48"/>
      <c r="B109" s="48"/>
      <c r="C109" s="48"/>
      <c r="D109" s="49"/>
      <c r="E109" s="50"/>
      <c r="F109" s="49"/>
      <c r="G109" s="49"/>
      <c r="H109" s="49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48"/>
      <c r="B110" s="48"/>
      <c r="C110" s="48"/>
      <c r="D110" s="49"/>
      <c r="E110" s="50"/>
      <c r="F110" s="49"/>
      <c r="G110" s="49"/>
      <c r="H110" s="49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48"/>
      <c r="B111" s="48"/>
      <c r="C111" s="48"/>
      <c r="D111" s="49"/>
      <c r="E111" s="50"/>
      <c r="F111" s="49"/>
      <c r="G111" s="49"/>
      <c r="H111" s="49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48"/>
      <c r="B112" s="48"/>
      <c r="C112" s="48"/>
      <c r="D112" s="49"/>
      <c r="E112" s="50"/>
      <c r="F112" s="49"/>
      <c r="G112" s="49"/>
      <c r="H112" s="49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48"/>
      <c r="B113" s="48"/>
      <c r="C113" s="48"/>
      <c r="D113" s="49"/>
      <c r="E113" s="50"/>
      <c r="F113" s="49"/>
      <c r="G113" s="49"/>
      <c r="H113" s="49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48"/>
      <c r="B114" s="48"/>
      <c r="C114" s="48"/>
      <c r="D114" s="49"/>
      <c r="E114" s="50"/>
      <c r="F114" s="49"/>
      <c r="G114" s="49"/>
      <c r="H114" s="49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48"/>
      <c r="B115" s="48"/>
      <c r="C115" s="48"/>
      <c r="D115" s="49"/>
      <c r="E115" s="50"/>
      <c r="F115" s="49"/>
      <c r="G115" s="49"/>
      <c r="H115" s="49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48"/>
      <c r="B116" s="48"/>
      <c r="C116" s="48"/>
      <c r="D116" s="49"/>
      <c r="E116" s="50"/>
      <c r="F116" s="49"/>
      <c r="G116" s="49"/>
      <c r="H116" s="49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48"/>
      <c r="B117" s="48"/>
      <c r="C117" s="48"/>
      <c r="D117" s="49"/>
      <c r="E117" s="50"/>
      <c r="F117" s="49"/>
      <c r="G117" s="49"/>
      <c r="H117" s="49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48"/>
      <c r="B118" s="48"/>
      <c r="C118" s="48"/>
      <c r="D118" s="49"/>
      <c r="E118" s="50"/>
      <c r="F118" s="49"/>
      <c r="G118" s="49"/>
      <c r="H118" s="49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48"/>
      <c r="B119" s="48"/>
      <c r="C119" s="48"/>
      <c r="D119" s="49"/>
      <c r="E119" s="50"/>
      <c r="F119" s="49"/>
      <c r="G119" s="49"/>
      <c r="H119" s="49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48"/>
      <c r="B120" s="48"/>
      <c r="C120" s="48"/>
      <c r="D120" s="49"/>
      <c r="E120" s="50"/>
      <c r="F120" s="49"/>
      <c r="G120" s="49"/>
      <c r="H120" s="49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48"/>
      <c r="B121" s="48"/>
      <c r="C121" s="48"/>
      <c r="D121" s="49"/>
      <c r="E121" s="50"/>
      <c r="F121" s="49"/>
      <c r="G121" s="49"/>
      <c r="H121" s="49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48"/>
      <c r="B122" s="48"/>
      <c r="C122" s="48"/>
      <c r="D122" s="49"/>
      <c r="E122" s="50"/>
      <c r="F122" s="49"/>
      <c r="G122" s="49"/>
      <c r="H122" s="49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48"/>
      <c r="B123" s="48"/>
      <c r="C123" s="48"/>
      <c r="D123" s="49"/>
      <c r="E123" s="50"/>
      <c r="F123" s="49"/>
      <c r="G123" s="49"/>
      <c r="H123" s="49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48"/>
      <c r="B124" s="48"/>
      <c r="C124" s="48"/>
      <c r="D124" s="49"/>
      <c r="E124" s="50"/>
      <c r="F124" s="49"/>
      <c r="G124" s="49"/>
      <c r="H124" s="49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48"/>
      <c r="B125" s="48"/>
      <c r="C125" s="48"/>
      <c r="D125" s="49"/>
      <c r="E125" s="50"/>
      <c r="F125" s="49"/>
      <c r="G125" s="49"/>
      <c r="H125" s="49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48"/>
      <c r="B126" s="48"/>
      <c r="C126" s="48"/>
      <c r="D126" s="49"/>
      <c r="E126" s="50"/>
      <c r="F126" s="49"/>
      <c r="G126" s="49"/>
      <c r="H126" s="49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48"/>
      <c r="B127" s="48"/>
      <c r="C127" s="48"/>
      <c r="D127" s="49"/>
      <c r="E127" s="50"/>
      <c r="F127" s="49"/>
      <c r="G127" s="49"/>
      <c r="H127" s="49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48"/>
      <c r="B128" s="48"/>
      <c r="C128" s="48"/>
      <c r="D128" s="49"/>
      <c r="E128" s="50"/>
      <c r="F128" s="49"/>
      <c r="G128" s="49"/>
      <c r="H128" s="49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48"/>
      <c r="B129" s="48"/>
      <c r="C129" s="48"/>
      <c r="D129" s="49"/>
      <c r="E129" s="50"/>
      <c r="F129" s="49"/>
      <c r="G129" s="49"/>
      <c r="H129" s="49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48"/>
      <c r="B130" s="48"/>
      <c r="C130" s="48"/>
      <c r="D130" s="49"/>
      <c r="E130" s="50"/>
      <c r="F130" s="49"/>
      <c r="G130" s="49"/>
      <c r="H130" s="49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48"/>
      <c r="B131" s="48"/>
      <c r="C131" s="48"/>
      <c r="D131" s="49"/>
      <c r="E131" s="50"/>
      <c r="F131" s="49"/>
      <c r="G131" s="49"/>
      <c r="H131" s="49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48"/>
      <c r="B132" s="48"/>
      <c r="C132" s="48"/>
      <c r="D132" s="49"/>
      <c r="E132" s="50"/>
      <c r="F132" s="49"/>
      <c r="G132" s="49"/>
      <c r="H132" s="49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48"/>
      <c r="B133" s="48"/>
      <c r="C133" s="48"/>
      <c r="D133" s="49"/>
      <c r="E133" s="50"/>
      <c r="F133" s="49"/>
      <c r="G133" s="49"/>
      <c r="H133" s="49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48"/>
      <c r="B134" s="48"/>
      <c r="C134" s="48"/>
      <c r="D134" s="49"/>
      <c r="E134" s="50"/>
      <c r="F134" s="49"/>
      <c r="G134" s="49"/>
      <c r="H134" s="49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48"/>
      <c r="B135" s="48"/>
      <c r="C135" s="48"/>
      <c r="D135" s="49"/>
      <c r="E135" s="50"/>
      <c r="F135" s="49"/>
      <c r="G135" s="49"/>
      <c r="H135" s="49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48"/>
      <c r="B136" s="48"/>
      <c r="C136" s="48"/>
      <c r="D136" s="49"/>
      <c r="E136" s="50"/>
      <c r="F136" s="49"/>
      <c r="G136" s="49"/>
      <c r="H136" s="49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48"/>
      <c r="B137" s="48"/>
      <c r="C137" s="48"/>
      <c r="D137" s="49"/>
      <c r="E137" s="50"/>
      <c r="F137" s="49"/>
      <c r="G137" s="49"/>
      <c r="H137" s="49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48"/>
      <c r="B138" s="48"/>
      <c r="C138" s="48"/>
      <c r="D138" s="49"/>
      <c r="E138" s="50"/>
      <c r="F138" s="49"/>
      <c r="G138" s="49"/>
      <c r="H138" s="49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48"/>
      <c r="B139" s="48"/>
      <c r="C139" s="48"/>
      <c r="D139" s="49"/>
      <c r="E139" s="50"/>
      <c r="F139" s="49"/>
      <c r="G139" s="49"/>
      <c r="H139" s="49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48"/>
      <c r="B140" s="48"/>
      <c r="C140" s="48"/>
      <c r="D140" s="49"/>
      <c r="E140" s="50"/>
      <c r="F140" s="49"/>
      <c r="G140" s="49"/>
      <c r="H140" s="49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48"/>
      <c r="B141" s="48"/>
      <c r="C141" s="48"/>
      <c r="D141" s="49"/>
      <c r="E141" s="50"/>
      <c r="F141" s="49"/>
      <c r="G141" s="49"/>
      <c r="H141" s="49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48"/>
      <c r="B142" s="48"/>
      <c r="C142" s="48"/>
      <c r="D142" s="49"/>
      <c r="E142" s="50"/>
      <c r="F142" s="49"/>
      <c r="G142" s="49"/>
      <c r="H142" s="49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48"/>
      <c r="B143" s="48"/>
      <c r="C143" s="48"/>
      <c r="D143" s="49"/>
      <c r="E143" s="50"/>
      <c r="F143" s="49"/>
      <c r="G143" s="49"/>
      <c r="H143" s="49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48"/>
      <c r="B144" s="48"/>
      <c r="C144" s="48"/>
      <c r="D144" s="49"/>
      <c r="E144" s="50"/>
      <c r="F144" s="49"/>
      <c r="G144" s="49"/>
      <c r="H144" s="49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48"/>
      <c r="B145" s="48"/>
      <c r="C145" s="48"/>
      <c r="D145" s="49"/>
      <c r="E145" s="50"/>
      <c r="F145" s="49"/>
      <c r="G145" s="49"/>
      <c r="H145" s="49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48"/>
      <c r="B146" s="48"/>
      <c r="C146" s="48"/>
      <c r="D146" s="49"/>
      <c r="E146" s="50"/>
      <c r="F146" s="49"/>
      <c r="G146" s="49"/>
      <c r="H146" s="49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48"/>
      <c r="B147" s="48"/>
      <c r="C147" s="48"/>
      <c r="D147" s="49"/>
      <c r="E147" s="50"/>
      <c r="F147" s="49"/>
      <c r="G147" s="49"/>
      <c r="H147" s="49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48"/>
      <c r="B148" s="48"/>
      <c r="C148" s="48"/>
      <c r="D148" s="49"/>
      <c r="E148" s="50"/>
      <c r="F148" s="49"/>
      <c r="G148" s="49"/>
      <c r="H148" s="49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48"/>
      <c r="B149" s="48"/>
      <c r="C149" s="48"/>
      <c r="D149" s="49"/>
      <c r="E149" s="50"/>
      <c r="F149" s="49"/>
      <c r="G149" s="49"/>
      <c r="H149" s="49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48"/>
      <c r="B150" s="48"/>
      <c r="C150" s="48"/>
      <c r="D150" s="49"/>
      <c r="E150" s="50"/>
      <c r="F150" s="49"/>
      <c r="G150" s="49"/>
      <c r="H150" s="49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48"/>
      <c r="B151" s="48"/>
      <c r="C151" s="48"/>
      <c r="D151" s="49"/>
      <c r="E151" s="50"/>
      <c r="F151" s="49"/>
      <c r="G151" s="49"/>
      <c r="H151" s="49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48"/>
      <c r="B152" s="48"/>
      <c r="C152" s="48"/>
      <c r="D152" s="49"/>
      <c r="E152" s="50"/>
      <c r="F152" s="49"/>
      <c r="G152" s="49"/>
      <c r="H152" s="49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48"/>
      <c r="B153" s="48"/>
      <c r="C153" s="48"/>
      <c r="D153" s="49"/>
      <c r="E153" s="50"/>
      <c r="F153" s="49"/>
      <c r="G153" s="49"/>
      <c r="H153" s="49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48"/>
      <c r="B154" s="48"/>
      <c r="C154" s="48"/>
      <c r="D154" s="49"/>
      <c r="E154" s="50"/>
      <c r="F154" s="49"/>
      <c r="G154" s="49"/>
      <c r="H154" s="49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48"/>
      <c r="B155" s="48"/>
      <c r="C155" s="48"/>
      <c r="D155" s="49"/>
      <c r="E155" s="50"/>
      <c r="F155" s="49"/>
      <c r="G155" s="49"/>
      <c r="H155" s="49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48"/>
      <c r="B156" s="48"/>
      <c r="C156" s="48"/>
      <c r="D156" s="49"/>
      <c r="E156" s="50"/>
      <c r="F156" s="49"/>
      <c r="G156" s="49"/>
      <c r="H156" s="49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48"/>
      <c r="B157" s="48"/>
      <c r="C157" s="48"/>
      <c r="D157" s="49"/>
      <c r="E157" s="50"/>
      <c r="F157" s="49"/>
      <c r="G157" s="49"/>
      <c r="H157" s="49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48"/>
      <c r="B158" s="48"/>
      <c r="C158" s="48"/>
      <c r="D158" s="49"/>
      <c r="E158" s="50"/>
      <c r="F158" s="49"/>
      <c r="G158" s="49"/>
      <c r="H158" s="49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48"/>
      <c r="B159" s="48"/>
      <c r="C159" s="48"/>
      <c r="D159" s="49"/>
      <c r="E159" s="50"/>
      <c r="F159" s="49"/>
      <c r="G159" s="49"/>
      <c r="H159" s="49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48"/>
      <c r="B160" s="48"/>
      <c r="C160" s="48"/>
      <c r="D160" s="49"/>
      <c r="E160" s="50"/>
      <c r="F160" s="49"/>
      <c r="G160" s="49"/>
      <c r="H160" s="49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48"/>
      <c r="B161" s="48"/>
      <c r="C161" s="48"/>
      <c r="D161" s="49"/>
      <c r="E161" s="50"/>
      <c r="F161" s="49"/>
      <c r="G161" s="49"/>
      <c r="H161" s="49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48"/>
      <c r="B162" s="48"/>
      <c r="C162" s="48"/>
      <c r="D162" s="49"/>
      <c r="E162" s="50"/>
      <c r="F162" s="49"/>
      <c r="G162" s="49"/>
      <c r="H162" s="49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48"/>
      <c r="B163" s="48"/>
      <c r="C163" s="48"/>
      <c r="D163" s="49"/>
      <c r="E163" s="50"/>
      <c r="F163" s="49"/>
      <c r="G163" s="49"/>
      <c r="H163" s="49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48"/>
      <c r="B164" s="48"/>
      <c r="C164" s="48"/>
      <c r="D164" s="49"/>
      <c r="E164" s="50"/>
      <c r="F164" s="49"/>
      <c r="G164" s="49"/>
      <c r="H164" s="49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48"/>
      <c r="B165" s="48"/>
      <c r="C165" s="48"/>
      <c r="D165" s="49"/>
      <c r="E165" s="50"/>
      <c r="F165" s="49"/>
      <c r="G165" s="49"/>
      <c r="H165" s="49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48"/>
      <c r="B166" s="48"/>
      <c r="C166" s="48"/>
      <c r="D166" s="49"/>
      <c r="E166" s="50"/>
      <c r="F166" s="49"/>
      <c r="G166" s="49"/>
      <c r="H166" s="49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48"/>
      <c r="B167" s="48"/>
      <c r="C167" s="48"/>
      <c r="D167" s="49"/>
      <c r="E167" s="50"/>
      <c r="F167" s="49"/>
      <c r="G167" s="49"/>
      <c r="H167" s="49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48"/>
      <c r="B168" s="48"/>
      <c r="C168" s="48"/>
      <c r="D168" s="49"/>
      <c r="E168" s="50"/>
      <c r="F168" s="49"/>
      <c r="G168" s="49"/>
      <c r="H168" s="49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48"/>
      <c r="B169" s="48"/>
      <c r="C169" s="48"/>
      <c r="D169" s="49"/>
      <c r="E169" s="50"/>
      <c r="F169" s="49"/>
      <c r="G169" s="49"/>
      <c r="H169" s="49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48"/>
      <c r="B170" s="48"/>
      <c r="C170" s="48"/>
      <c r="D170" s="49"/>
      <c r="E170" s="50"/>
      <c r="F170" s="49"/>
      <c r="G170" s="49"/>
      <c r="H170" s="49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48"/>
      <c r="B171" s="48"/>
      <c r="C171" s="48"/>
      <c r="D171" s="49"/>
      <c r="E171" s="50"/>
      <c r="F171" s="49"/>
      <c r="G171" s="49"/>
      <c r="H171" s="49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48"/>
      <c r="B172" s="48"/>
      <c r="C172" s="48"/>
      <c r="D172" s="49"/>
      <c r="E172" s="50"/>
      <c r="F172" s="49"/>
      <c r="G172" s="49"/>
      <c r="H172" s="49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48"/>
      <c r="B173" s="48"/>
      <c r="C173" s="48"/>
      <c r="D173" s="49"/>
      <c r="E173" s="50"/>
      <c r="F173" s="49"/>
      <c r="G173" s="49"/>
      <c r="H173" s="49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48"/>
      <c r="B174" s="48"/>
      <c r="C174" s="48"/>
      <c r="D174" s="49"/>
      <c r="E174" s="50"/>
      <c r="F174" s="49"/>
      <c r="G174" s="49"/>
      <c r="H174" s="49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48"/>
      <c r="B175" s="48"/>
      <c r="C175" s="48"/>
      <c r="D175" s="49"/>
      <c r="E175" s="50"/>
      <c r="F175" s="49"/>
      <c r="G175" s="49"/>
      <c r="H175" s="49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48"/>
      <c r="B176" s="48"/>
      <c r="C176" s="48"/>
      <c r="D176" s="49"/>
      <c r="E176" s="50"/>
      <c r="F176" s="49"/>
      <c r="G176" s="49"/>
      <c r="H176" s="49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48"/>
      <c r="B177" s="48"/>
      <c r="C177" s="48"/>
      <c r="D177" s="49"/>
      <c r="E177" s="50"/>
      <c r="F177" s="49"/>
      <c r="G177" s="49"/>
      <c r="H177" s="49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48"/>
      <c r="B178" s="48"/>
      <c r="C178" s="48"/>
      <c r="D178" s="49"/>
      <c r="E178" s="50"/>
      <c r="F178" s="49"/>
      <c r="G178" s="49"/>
      <c r="H178" s="49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48"/>
      <c r="B179" s="48"/>
      <c r="C179" s="48"/>
      <c r="D179" s="49"/>
      <c r="E179" s="50"/>
      <c r="F179" s="49"/>
      <c r="G179" s="49"/>
      <c r="H179" s="49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48"/>
      <c r="B180" s="48"/>
      <c r="C180" s="48"/>
      <c r="D180" s="49"/>
      <c r="E180" s="50"/>
      <c r="F180" s="49"/>
      <c r="G180" s="49"/>
      <c r="H180" s="49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48"/>
      <c r="B181" s="48"/>
      <c r="C181" s="48"/>
      <c r="D181" s="49"/>
      <c r="E181" s="50"/>
      <c r="F181" s="49"/>
      <c r="G181" s="49"/>
      <c r="H181" s="49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48"/>
      <c r="B182" s="48"/>
      <c r="C182" s="48"/>
      <c r="D182" s="49"/>
      <c r="E182" s="50"/>
      <c r="F182" s="49"/>
      <c r="G182" s="49"/>
      <c r="H182" s="49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48"/>
      <c r="B183" s="48"/>
      <c r="C183" s="48"/>
      <c r="D183" s="49"/>
      <c r="E183" s="50"/>
      <c r="F183" s="49"/>
      <c r="G183" s="49"/>
      <c r="H183" s="49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48"/>
      <c r="B184" s="48"/>
      <c r="C184" s="48"/>
      <c r="D184" s="49"/>
      <c r="E184" s="50"/>
      <c r="F184" s="49"/>
      <c r="G184" s="49"/>
      <c r="H184" s="49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48"/>
      <c r="B185" s="48"/>
      <c r="C185" s="48"/>
      <c r="D185" s="49"/>
      <c r="E185" s="50"/>
      <c r="F185" s="49"/>
      <c r="G185" s="49"/>
      <c r="H185" s="49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48"/>
      <c r="B186" s="48"/>
      <c r="C186" s="48"/>
      <c r="D186" s="49"/>
      <c r="E186" s="50"/>
      <c r="F186" s="49"/>
      <c r="G186" s="49"/>
      <c r="H186" s="49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48"/>
      <c r="B187" s="48"/>
      <c r="C187" s="48"/>
      <c r="D187" s="49"/>
      <c r="E187" s="50"/>
      <c r="F187" s="49"/>
      <c r="G187" s="49"/>
      <c r="H187" s="49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48"/>
      <c r="B188" s="48"/>
      <c r="C188" s="48"/>
      <c r="D188" s="49"/>
      <c r="E188" s="50"/>
      <c r="F188" s="49"/>
      <c r="G188" s="49"/>
      <c r="H188" s="49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48"/>
      <c r="B189" s="48"/>
      <c r="C189" s="48"/>
      <c r="D189" s="49"/>
      <c r="E189" s="50"/>
      <c r="F189" s="49"/>
      <c r="G189" s="49"/>
      <c r="H189" s="49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48"/>
      <c r="B190" s="48"/>
      <c r="C190" s="48"/>
      <c r="D190" s="49"/>
      <c r="E190" s="50"/>
      <c r="F190" s="49"/>
      <c r="G190" s="49"/>
      <c r="H190" s="49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48"/>
      <c r="B191" s="48"/>
      <c r="C191" s="48"/>
      <c r="D191" s="49"/>
      <c r="E191" s="50"/>
      <c r="F191" s="49"/>
      <c r="G191" s="49"/>
      <c r="H191" s="49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48"/>
      <c r="B192" s="48"/>
      <c r="C192" s="48"/>
      <c r="D192" s="49"/>
      <c r="E192" s="50"/>
      <c r="F192" s="49"/>
      <c r="G192" s="49"/>
      <c r="H192" s="49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48"/>
      <c r="B193" s="48"/>
      <c r="C193" s="48"/>
      <c r="D193" s="49"/>
      <c r="E193" s="50"/>
      <c r="F193" s="49"/>
      <c r="G193" s="49"/>
      <c r="H193" s="49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48"/>
      <c r="B194" s="48"/>
      <c r="C194" s="48"/>
      <c r="D194" s="49"/>
      <c r="E194" s="50"/>
      <c r="F194" s="49"/>
      <c r="G194" s="49"/>
      <c r="H194" s="49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48"/>
      <c r="B195" s="48"/>
      <c r="C195" s="48"/>
      <c r="D195" s="49"/>
      <c r="E195" s="50"/>
      <c r="F195" s="49"/>
      <c r="G195" s="49"/>
      <c r="H195" s="49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48"/>
      <c r="B196" s="48"/>
      <c r="C196" s="48"/>
      <c r="D196" s="49"/>
      <c r="E196" s="50"/>
      <c r="F196" s="49"/>
      <c r="G196" s="49"/>
      <c r="H196" s="49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48"/>
      <c r="B197" s="48"/>
      <c r="C197" s="48"/>
      <c r="D197" s="49"/>
      <c r="E197" s="50"/>
      <c r="F197" s="49"/>
      <c r="G197" s="49"/>
      <c r="H197" s="49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48"/>
      <c r="B198" s="48"/>
      <c r="C198" s="48"/>
      <c r="D198" s="49"/>
      <c r="E198" s="50"/>
      <c r="F198" s="49"/>
      <c r="G198" s="49"/>
      <c r="H198" s="49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48"/>
      <c r="B199" s="48"/>
      <c r="C199" s="48"/>
      <c r="D199" s="49"/>
      <c r="E199" s="50"/>
      <c r="F199" s="49"/>
      <c r="G199" s="49"/>
      <c r="H199" s="49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48"/>
      <c r="B200" s="48"/>
      <c r="C200" s="48"/>
      <c r="D200" s="49"/>
      <c r="E200" s="50"/>
      <c r="F200" s="49"/>
      <c r="G200" s="49"/>
      <c r="H200" s="49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48"/>
      <c r="B201" s="48"/>
      <c r="C201" s="48"/>
      <c r="D201" s="49"/>
      <c r="E201" s="50"/>
      <c r="F201" s="49"/>
      <c r="G201" s="49"/>
      <c r="H201" s="49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48"/>
      <c r="B202" s="48"/>
      <c r="C202" s="48"/>
      <c r="D202" s="49"/>
      <c r="E202" s="50"/>
      <c r="F202" s="49"/>
      <c r="G202" s="49"/>
      <c r="H202" s="49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48"/>
      <c r="B203" s="48"/>
      <c r="C203" s="48"/>
      <c r="D203" s="49"/>
      <c r="E203" s="50"/>
      <c r="F203" s="49"/>
      <c r="G203" s="49"/>
      <c r="H203" s="49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48"/>
      <c r="B204" s="48"/>
      <c r="C204" s="48"/>
      <c r="D204" s="49"/>
      <c r="E204" s="50"/>
      <c r="F204" s="49"/>
      <c r="G204" s="49"/>
      <c r="H204" s="49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48"/>
      <c r="B205" s="48"/>
      <c r="C205" s="48"/>
      <c r="D205" s="49"/>
      <c r="E205" s="50"/>
      <c r="F205" s="49"/>
      <c r="G205" s="49"/>
      <c r="H205" s="49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48"/>
      <c r="B206" s="48"/>
      <c r="C206" s="48"/>
      <c r="D206" s="49"/>
      <c r="E206" s="50"/>
      <c r="F206" s="49"/>
      <c r="G206" s="49"/>
      <c r="H206" s="49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48"/>
      <c r="B207" s="48"/>
      <c r="C207" s="48"/>
      <c r="D207" s="49"/>
      <c r="E207" s="50"/>
      <c r="F207" s="49"/>
      <c r="G207" s="49"/>
      <c r="H207" s="49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48"/>
      <c r="B208" s="48"/>
      <c r="C208" s="48"/>
      <c r="D208" s="49"/>
      <c r="E208" s="50"/>
      <c r="F208" s="49"/>
      <c r="G208" s="49"/>
      <c r="H208" s="49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48"/>
      <c r="B209" s="48"/>
      <c r="C209" s="48"/>
      <c r="D209" s="49"/>
      <c r="E209" s="50"/>
      <c r="F209" s="49"/>
      <c r="G209" s="49"/>
      <c r="H209" s="49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48"/>
      <c r="B210" s="48"/>
      <c r="C210" s="48"/>
      <c r="D210" s="49"/>
      <c r="E210" s="50"/>
      <c r="F210" s="49"/>
      <c r="G210" s="49"/>
      <c r="H210" s="49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48"/>
      <c r="B211" s="48"/>
      <c r="C211" s="48"/>
      <c r="D211" s="49"/>
      <c r="E211" s="50"/>
      <c r="F211" s="49"/>
      <c r="G211" s="49"/>
      <c r="H211" s="49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48"/>
      <c r="B212" s="48"/>
      <c r="C212" s="48"/>
      <c r="D212" s="49"/>
      <c r="E212" s="50"/>
      <c r="F212" s="49"/>
      <c r="G212" s="49"/>
      <c r="H212" s="49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48"/>
      <c r="B213" s="48"/>
      <c r="C213" s="48"/>
      <c r="D213" s="49"/>
      <c r="E213" s="50"/>
      <c r="F213" s="49"/>
      <c r="G213" s="49"/>
      <c r="H213" s="49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48"/>
      <c r="B214" s="48"/>
      <c r="C214" s="48"/>
      <c r="D214" s="49"/>
      <c r="E214" s="50"/>
      <c r="F214" s="49"/>
      <c r="G214" s="49"/>
      <c r="H214" s="49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48"/>
      <c r="B215" s="48"/>
      <c r="C215" s="48"/>
      <c r="D215" s="49"/>
      <c r="E215" s="50"/>
      <c r="F215" s="49"/>
      <c r="G215" s="49"/>
      <c r="H215" s="49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48"/>
      <c r="B216" s="48"/>
      <c r="C216" s="48"/>
      <c r="D216" s="49"/>
      <c r="E216" s="50"/>
      <c r="F216" s="49"/>
      <c r="G216" s="49"/>
      <c r="H216" s="49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48"/>
      <c r="B217" s="48"/>
      <c r="C217" s="48"/>
      <c r="D217" s="49"/>
      <c r="E217" s="50"/>
      <c r="F217" s="49"/>
      <c r="G217" s="49"/>
      <c r="H217" s="49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48"/>
      <c r="B218" s="48"/>
      <c r="C218" s="48"/>
      <c r="D218" s="49"/>
      <c r="E218" s="50"/>
      <c r="F218" s="49"/>
      <c r="G218" s="49"/>
      <c r="H218" s="49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48"/>
      <c r="B219" s="48"/>
      <c r="C219" s="48"/>
      <c r="D219" s="49"/>
      <c r="E219" s="50"/>
      <c r="F219" s="49"/>
      <c r="G219" s="49"/>
      <c r="H219" s="49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48"/>
      <c r="B220" s="48"/>
      <c r="C220" s="48"/>
      <c r="D220" s="49"/>
      <c r="E220" s="50"/>
      <c r="F220" s="49"/>
      <c r="G220" s="49"/>
      <c r="H220" s="49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48"/>
      <c r="B221" s="48"/>
      <c r="C221" s="48"/>
      <c r="D221" s="49"/>
      <c r="E221" s="50"/>
      <c r="F221" s="49"/>
      <c r="G221" s="49"/>
      <c r="H221" s="49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48"/>
      <c r="B222" s="48"/>
      <c r="C222" s="48"/>
      <c r="D222" s="49"/>
      <c r="E222" s="50"/>
      <c r="F222" s="49"/>
      <c r="G222" s="49"/>
      <c r="H222" s="49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48"/>
      <c r="B223" s="48"/>
      <c r="C223" s="48"/>
      <c r="D223" s="49"/>
      <c r="E223" s="50"/>
      <c r="F223" s="49"/>
      <c r="G223" s="49"/>
      <c r="H223" s="49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48"/>
      <c r="B224" s="48"/>
      <c r="C224" s="48"/>
      <c r="D224" s="49"/>
      <c r="E224" s="50"/>
      <c r="F224" s="49"/>
      <c r="G224" s="49"/>
      <c r="H224" s="49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48"/>
      <c r="B225" s="48"/>
      <c r="C225" s="48"/>
      <c r="D225" s="49"/>
      <c r="E225" s="50"/>
      <c r="F225" s="49"/>
      <c r="G225" s="49"/>
      <c r="H225" s="49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48"/>
      <c r="B226" s="48"/>
      <c r="C226" s="48"/>
      <c r="D226" s="49"/>
      <c r="E226" s="50"/>
      <c r="F226" s="49"/>
      <c r="G226" s="49"/>
      <c r="H226" s="49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48"/>
      <c r="B227" s="48"/>
      <c r="C227" s="48"/>
      <c r="D227" s="49"/>
      <c r="E227" s="50"/>
      <c r="F227" s="49"/>
      <c r="G227" s="49"/>
      <c r="H227" s="49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48"/>
      <c r="B228" s="48"/>
      <c r="C228" s="48"/>
      <c r="D228" s="49"/>
      <c r="E228" s="50"/>
      <c r="F228" s="49"/>
      <c r="G228" s="49"/>
      <c r="H228" s="49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48"/>
      <c r="B229" s="48"/>
      <c r="C229" s="48"/>
      <c r="D229" s="49"/>
      <c r="E229" s="50"/>
      <c r="F229" s="49"/>
      <c r="G229" s="49"/>
      <c r="H229" s="49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48"/>
      <c r="B230" s="48"/>
      <c r="C230" s="48"/>
      <c r="D230" s="49"/>
      <c r="E230" s="50"/>
      <c r="F230" s="49"/>
      <c r="G230" s="49"/>
      <c r="H230" s="49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48"/>
      <c r="B231" s="48"/>
      <c r="C231" s="48"/>
      <c r="D231" s="49"/>
      <c r="E231" s="50"/>
      <c r="F231" s="49"/>
      <c r="G231" s="49"/>
      <c r="H231" s="49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48"/>
      <c r="B232" s="48"/>
      <c r="C232" s="48"/>
      <c r="D232" s="49"/>
      <c r="E232" s="50"/>
      <c r="F232" s="49"/>
      <c r="G232" s="49"/>
      <c r="H232" s="49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48"/>
      <c r="B233" s="48"/>
      <c r="C233" s="48"/>
      <c r="D233" s="49"/>
      <c r="E233" s="50"/>
      <c r="F233" s="49"/>
      <c r="G233" s="49"/>
      <c r="H233" s="49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48"/>
      <c r="B234" s="48"/>
      <c r="C234" s="48"/>
      <c r="D234" s="49"/>
      <c r="E234" s="50"/>
      <c r="F234" s="49"/>
      <c r="G234" s="49"/>
      <c r="H234" s="49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48"/>
      <c r="B235" s="48"/>
      <c r="C235" s="48"/>
      <c r="D235" s="49"/>
      <c r="E235" s="50"/>
      <c r="F235" s="49"/>
      <c r="G235" s="49"/>
      <c r="H235" s="49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48"/>
      <c r="B236" s="48"/>
      <c r="C236" s="48"/>
      <c r="D236" s="49"/>
      <c r="E236" s="50"/>
      <c r="F236" s="49"/>
      <c r="G236" s="49"/>
      <c r="H236" s="49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15">
    <mergeCell ref="B11:B15"/>
    <mergeCell ref="B16:B17"/>
    <mergeCell ref="B18:B22"/>
    <mergeCell ref="B24:B26"/>
    <mergeCell ref="B27:B30"/>
    <mergeCell ref="B31:B32"/>
    <mergeCell ref="B33:B34"/>
    <mergeCell ref="B35:B36"/>
    <mergeCell ref="A4:D4"/>
    <mergeCell ref="E4:H4"/>
    <mergeCell ref="A5:D5"/>
    <mergeCell ref="E5:H5"/>
    <mergeCell ref="A6:D6"/>
    <mergeCell ref="A7:D7"/>
    <mergeCell ref="E7:H7"/>
  </mergeCells>
  <hyperlinks>
    <hyperlink display="register" location="logout!A1" ref="D11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0"/>
    <col customWidth="1" min="2" max="2" width="14.38"/>
    <col customWidth="1" min="3" max="3" width="23.0"/>
    <col customWidth="1" min="4" max="10" width="14.5"/>
    <col customWidth="1" min="11" max="27" width="10.0"/>
  </cols>
  <sheetData>
    <row r="1" ht="12.75" customHeight="1">
      <c r="A1" s="124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</row>
    <row r="2" ht="25.5" customHeight="1">
      <c r="A2" s="125"/>
      <c r="B2" s="126" t="s">
        <v>158</v>
      </c>
      <c r="C2" s="127"/>
      <c r="D2" s="127"/>
      <c r="E2" s="127"/>
      <c r="F2" s="127"/>
      <c r="G2" s="127"/>
      <c r="H2" s="127"/>
      <c r="I2" s="127"/>
      <c r="J2" s="12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</row>
    <row r="3" ht="14.25" customHeight="1">
      <c r="A3" s="128"/>
      <c r="B3" s="129"/>
      <c r="C3" s="67"/>
      <c r="D3" s="67"/>
      <c r="E3" s="67"/>
      <c r="F3" s="67"/>
      <c r="G3" s="67"/>
      <c r="H3" s="67"/>
      <c r="I3" s="67"/>
      <c r="J3" s="130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</row>
    <row r="4" ht="25.5" customHeight="1">
      <c r="A4" s="131"/>
      <c r="B4" s="132" t="s">
        <v>46</v>
      </c>
      <c r="C4" s="133" t="str">
        <f>Cover!B4</f>
        <v>Smart Japanese language learning app with AI.</v>
      </c>
      <c r="D4" s="17"/>
      <c r="E4" s="134" t="s">
        <v>48</v>
      </c>
      <c r="F4" s="17"/>
      <c r="G4" s="135" t="s">
        <v>159</v>
      </c>
      <c r="H4" s="16"/>
      <c r="I4" s="16"/>
      <c r="J4" s="1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</row>
    <row r="5" ht="13.5" customHeight="1">
      <c r="A5" s="131"/>
      <c r="B5" s="132" t="s">
        <v>50</v>
      </c>
      <c r="C5" s="136" t="str">
        <f>Cover!B5</f>
        <v>FKOTOAI</v>
      </c>
      <c r="D5" s="17"/>
      <c r="E5" s="134" t="s">
        <v>160</v>
      </c>
      <c r="F5" s="17"/>
      <c r="G5" s="137" t="s">
        <v>161</v>
      </c>
      <c r="H5" s="16"/>
      <c r="I5" s="16"/>
      <c r="J5" s="1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</row>
    <row r="6" ht="12.75" customHeight="1">
      <c r="A6" s="128"/>
      <c r="B6" s="27" t="s">
        <v>53</v>
      </c>
      <c r="C6" s="136" t="str">
        <f>C5&amp;"_"&amp;"Unit Test Report"&amp;"_"&amp;"v1.0"</f>
        <v>FKOTOAI_Unit Test Report_v1.0</v>
      </c>
      <c r="D6" s="17"/>
      <c r="E6" s="134" t="s">
        <v>52</v>
      </c>
      <c r="F6" s="17"/>
      <c r="G6" s="138"/>
      <c r="H6" s="16"/>
      <c r="I6" s="16"/>
      <c r="J6" s="1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</row>
    <row r="7" ht="15.75" customHeight="1">
      <c r="A7" s="128"/>
      <c r="B7" s="27" t="s">
        <v>162</v>
      </c>
      <c r="C7" s="139"/>
      <c r="D7" s="16"/>
      <c r="E7" s="16"/>
      <c r="F7" s="16"/>
      <c r="G7" s="16"/>
      <c r="H7" s="16"/>
      <c r="I7" s="16"/>
      <c r="J7" s="1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ht="12.75" customHeight="1">
      <c r="A8" s="36"/>
      <c r="B8" s="140"/>
      <c r="C8" s="140"/>
      <c r="D8" s="140"/>
      <c r="E8" s="140"/>
      <c r="F8" s="140"/>
      <c r="G8" s="140"/>
      <c r="H8" s="140"/>
      <c r="I8" s="140"/>
      <c r="J8" s="140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</row>
    <row r="9" ht="14.25" customHeight="1">
      <c r="A9" s="141"/>
      <c r="B9" s="142" t="s">
        <v>74</v>
      </c>
      <c r="C9" s="142" t="s">
        <v>163</v>
      </c>
      <c r="D9" s="143" t="s">
        <v>164</v>
      </c>
      <c r="E9" s="142" t="s">
        <v>165</v>
      </c>
      <c r="F9" s="142" t="s">
        <v>166</v>
      </c>
      <c r="G9" s="142" t="s">
        <v>167</v>
      </c>
      <c r="H9" s="142" t="s">
        <v>62</v>
      </c>
      <c r="I9" s="142" t="s">
        <v>168</v>
      </c>
      <c r="J9" s="143" t="s">
        <v>169</v>
      </c>
      <c r="K9" s="144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</row>
    <row r="10" ht="12.75" customHeight="1">
      <c r="A10" s="18"/>
      <c r="B10" s="145">
        <v>1.0</v>
      </c>
      <c r="C10" s="77" t="s">
        <v>81</v>
      </c>
      <c r="D10" s="145">
        <f>logout!A5</f>
        <v>18</v>
      </c>
      <c r="E10" s="145">
        <f>logout!C5</f>
        <v>0</v>
      </c>
      <c r="F10" s="145">
        <f>logout!E5</f>
        <v>0</v>
      </c>
      <c r="G10" s="145">
        <f>logout!J5</f>
        <v>2</v>
      </c>
      <c r="H10" s="145">
        <f>logout!K5</f>
        <v>13</v>
      </c>
      <c r="I10" s="145">
        <f>logout!L5</f>
        <v>3</v>
      </c>
      <c r="J10" s="145">
        <f>logout!M5</f>
        <v>18</v>
      </c>
      <c r="K10" s="144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</row>
    <row r="11" ht="12.75" customHeight="1">
      <c r="A11" s="18"/>
      <c r="B11" s="145">
        <v>2.0</v>
      </c>
      <c r="C11" s="77" t="s">
        <v>82</v>
      </c>
      <c r="D11" s="145">
        <f>login!A5</f>
        <v>7</v>
      </c>
      <c r="E11" s="145">
        <f>login!C5</f>
        <v>0</v>
      </c>
      <c r="F11" s="145">
        <f>login!E5</f>
        <v>9</v>
      </c>
      <c r="G11" s="145">
        <f>login!J5</f>
        <v>3</v>
      </c>
      <c r="H11" s="145">
        <f>login!K5</f>
        <v>3</v>
      </c>
      <c r="I11" s="145">
        <f>login!L5</f>
        <v>1</v>
      </c>
      <c r="J11" s="145">
        <f>login!M5</f>
        <v>16</v>
      </c>
      <c r="K11" s="144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</row>
    <row r="12" ht="13.5" customHeight="1">
      <c r="A12" s="146"/>
      <c r="B12" s="145">
        <v>3.0</v>
      </c>
      <c r="C12" s="77" t="s">
        <v>90</v>
      </c>
      <c r="D12" s="145">
        <f>requestOTP!A5</f>
        <v>5</v>
      </c>
      <c r="E12" s="145">
        <f>requestOTP!C5</f>
        <v>0</v>
      </c>
      <c r="F12" s="145">
        <f>requestOTP!E5</f>
        <v>3</v>
      </c>
      <c r="G12" s="145">
        <f>requestOTP!J5</f>
        <v>2</v>
      </c>
      <c r="H12" s="145">
        <f>requestOTP!K5</f>
        <v>3</v>
      </c>
      <c r="I12" s="145">
        <f>requestOTP!L5</f>
        <v>0</v>
      </c>
      <c r="J12" s="145">
        <f>requestOTP!M5</f>
        <v>8</v>
      </c>
      <c r="K12" s="144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</row>
    <row r="13" ht="12.75" customHeight="1">
      <c r="A13" s="146"/>
      <c r="B13" s="145">
        <v>4.0</v>
      </c>
      <c r="C13" s="77" t="s">
        <v>94</v>
      </c>
      <c r="D13" s="145">
        <f>studentHome!A5</f>
        <v>9</v>
      </c>
      <c r="E13" s="145">
        <f>studentHome!C5</f>
        <v>0</v>
      </c>
      <c r="F13" s="145">
        <f>studentHome!E5</f>
        <v>0</v>
      </c>
      <c r="G13" s="145">
        <f>studentHome!J5</f>
        <v>1</v>
      </c>
      <c r="H13" s="145">
        <f>studentHome!K5</f>
        <v>7</v>
      </c>
      <c r="I13" s="145">
        <f>studentHome!L5</f>
        <v>1</v>
      </c>
      <c r="J13" s="145">
        <f>studentHome!M5</f>
        <v>9</v>
      </c>
      <c r="K13" s="144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ht="13.5" customHeight="1">
      <c r="A14" s="146"/>
      <c r="B14" s="145">
        <v>5.0</v>
      </c>
      <c r="C14" s="90" t="s">
        <v>97</v>
      </c>
      <c r="D14" s="145">
        <f>submitFlashcard!A5</f>
        <v>13</v>
      </c>
      <c r="E14" s="145">
        <f>submitFlashcard!C5</f>
        <v>0</v>
      </c>
      <c r="F14" s="145">
        <f>submitFlashcard!E5</f>
        <v>0</v>
      </c>
      <c r="G14" s="145">
        <f>submitFlashcard!J5</f>
        <v>1</v>
      </c>
      <c r="H14" s="145">
        <f>submitFlashcard!K5</f>
        <v>10</v>
      </c>
      <c r="I14" s="145">
        <f>submitFlashcard!L5</f>
        <v>2</v>
      </c>
      <c r="J14" s="145">
        <f>submitFlashcard!M5</f>
        <v>13</v>
      </c>
      <c r="K14" s="82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</row>
    <row r="15" ht="13.5" customHeight="1">
      <c r="A15" s="146"/>
      <c r="B15" s="145">
        <v>6.0</v>
      </c>
      <c r="C15" s="93" t="s">
        <v>101</v>
      </c>
      <c r="D15" s="145">
        <f>viewFlashcard!A5</f>
        <v>21</v>
      </c>
      <c r="E15" s="145">
        <f>viewFlashcard!C5</f>
        <v>0</v>
      </c>
      <c r="F15" s="145">
        <f>viewFlashcard!E5</f>
        <v>0</v>
      </c>
      <c r="G15" s="145">
        <f>viewFlashcard!J5</f>
        <v>2</v>
      </c>
      <c r="H15" s="145">
        <f>viewFlashcard!K5</f>
        <v>16</v>
      </c>
      <c r="I15" s="145">
        <f>viewFlashcard!L5</f>
        <v>3</v>
      </c>
      <c r="J15" s="145">
        <f>viewFlashcard!M5</f>
        <v>21</v>
      </c>
      <c r="K15" s="144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</row>
    <row r="16" ht="13.5" customHeight="1">
      <c r="A16" s="146"/>
      <c r="B16" s="145">
        <v>7.0</v>
      </c>
      <c r="C16" s="93" t="s">
        <v>104</v>
      </c>
      <c r="D16" s="145" t="str">
        <f>submitFlashcard!A5</f>
        <v>#REF!</v>
      </c>
      <c r="E16" s="145" t="str">
        <f>submitFlashcard!C5</f>
        <v>#REF!</v>
      </c>
      <c r="F16" s="145" t="str">
        <f>submitFlashcard!E5</f>
        <v>#REF!</v>
      </c>
      <c r="G16" s="145" t="str">
        <f t="shared" ref="G16:J16" si="1">submitFlashcard!J5</f>
        <v>#REF!</v>
      </c>
      <c r="H16" s="145" t="str">
        <f t="shared" si="1"/>
        <v>#REF!</v>
      </c>
      <c r="I16" s="145" t="str">
        <f t="shared" si="1"/>
        <v>#REF!</v>
      </c>
      <c r="J16" s="145" t="str">
        <f t="shared" si="1"/>
        <v>#REF!</v>
      </c>
      <c r="K16" s="144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</row>
    <row r="17" ht="13.5" customHeight="1">
      <c r="A17" s="146"/>
      <c r="B17" s="145">
        <v>8.0</v>
      </c>
      <c r="C17" s="93" t="s">
        <v>107</v>
      </c>
      <c r="D17" s="147">
        <f>IFERROR(__xludf.DUMMYFUNCTION("SPLIT(TEXTJOIN("","", TRUE, viewLearningProgress!A5, viewLearningProgress!C5, viewLearningProgress!E5, viewLearningProgress!J5, viewLearningProgress!K5, viewLearningProgress!L5, viewLearningProgress!M5), "","")
"),14.0)</f>
        <v>14</v>
      </c>
      <c r="E17" s="145">
        <f>IFERROR(__xludf.DUMMYFUNCTION("""COMPUTED_VALUE"""),0.0)</f>
        <v>0</v>
      </c>
      <c r="F17" s="145">
        <f>IFERROR(__xludf.DUMMYFUNCTION("""COMPUTED_VALUE"""),0.0)</f>
        <v>0</v>
      </c>
      <c r="G17" s="145">
        <f>IFERROR(__xludf.DUMMYFUNCTION("""COMPUTED_VALUE"""),2.0)</f>
        <v>2</v>
      </c>
      <c r="H17" s="145">
        <f>IFERROR(__xludf.DUMMYFUNCTION("""COMPUTED_VALUE"""),10.0)</f>
        <v>10</v>
      </c>
      <c r="I17" s="145">
        <f>IFERROR(__xludf.DUMMYFUNCTION("""COMPUTED_VALUE"""),2.0)</f>
        <v>2</v>
      </c>
      <c r="J17" s="145">
        <f>IFERROR(__xludf.DUMMYFUNCTION("""COMPUTED_VALUE"""),14.0)</f>
        <v>14</v>
      </c>
      <c r="K17" s="144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</row>
    <row r="18" ht="13.5" customHeight="1">
      <c r="A18" s="146"/>
      <c r="B18" s="145">
        <v>9.0</v>
      </c>
      <c r="C18" s="93" t="s">
        <v>110</v>
      </c>
      <c r="D18" s="145" t="str">
        <f>IFERROR(__xludf.DUMMYFUNCTION("SPLIT(TEXTJOIN("","", TRUE, changeStatusProject!A5, changeStatusProject!C5, changeStatusProject!E5, changeStatusProject!J5, changeStatusProject!K5, changeStatusProject!L5, changeStatusProject!M5), "","")
"),"#REF!")</f>
        <v>#REF!</v>
      </c>
      <c r="E18" s="145"/>
      <c r="F18" s="145"/>
      <c r="G18" s="145"/>
      <c r="H18" s="145"/>
      <c r="I18" s="145"/>
      <c r="J18" s="145"/>
      <c r="K18" s="144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</row>
    <row r="19" ht="13.5" customHeight="1">
      <c r="A19" s="146"/>
      <c r="B19" s="145">
        <v>10.0</v>
      </c>
      <c r="C19" s="93" t="s">
        <v>113</v>
      </c>
      <c r="D19" s="145" t="str">
        <f>IFERROR(__xludf.DUMMYFUNCTION("SPLIT(TEXTJOIN("","", TRUE, getDetailChapter!A5, getDetailChapter!C5, getDetailChapter!E5, getDetailChapter!J5, getDetailChapter!K5, getDetailChapter!L5, getDetailChapter!M5), "","")
"),"#REF!")</f>
        <v>#REF!</v>
      </c>
      <c r="E19" s="145"/>
      <c r="F19" s="145"/>
      <c r="G19" s="145"/>
      <c r="H19" s="145"/>
      <c r="I19" s="145"/>
      <c r="J19" s="145"/>
      <c r="K19" s="144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</row>
    <row r="20" ht="13.5" customHeight="1">
      <c r="A20" s="146"/>
      <c r="B20" s="145">
        <v>11.0</v>
      </c>
      <c r="C20" s="99" t="s">
        <v>117</v>
      </c>
      <c r="D20" s="145">
        <f>IFERROR(__xludf.DUMMYFUNCTION("SPLIT(TEXTJOIN("","", TRUE, updateChapterDetail!A5, updateChapterDetail!C5, updateChapterDetail!E5, updateChapterDetail!J5, updateChapterDetail!K5, updateChapterDetail!L5, updateChapterDetail!M5), "","")
"),5.0)</f>
        <v>5</v>
      </c>
      <c r="E20" s="145">
        <f>IFERROR(__xludf.DUMMYFUNCTION("""COMPUTED_VALUE"""),0.0)</f>
        <v>0</v>
      </c>
      <c r="F20" s="145">
        <f>IFERROR(__xludf.DUMMYFUNCTION("""COMPUTED_VALUE"""),0.0)</f>
        <v>0</v>
      </c>
      <c r="G20" s="145">
        <f>IFERROR(__xludf.DUMMYFUNCTION("""COMPUTED_VALUE"""),1.0)</f>
        <v>1</v>
      </c>
      <c r="H20" s="145">
        <f>IFERROR(__xludf.DUMMYFUNCTION("""COMPUTED_VALUE"""),4.0)</f>
        <v>4</v>
      </c>
      <c r="I20" s="145">
        <f>IFERROR(__xludf.DUMMYFUNCTION("""COMPUTED_VALUE"""),0.0)</f>
        <v>0</v>
      </c>
      <c r="J20" s="145">
        <f>IFERROR(__xludf.DUMMYFUNCTION("""COMPUTED_VALUE"""),5.0)</f>
        <v>5</v>
      </c>
      <c r="K20" s="144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</row>
    <row r="21" ht="13.5" customHeight="1">
      <c r="A21" s="146"/>
      <c r="B21" s="145">
        <v>12.0</v>
      </c>
      <c r="C21" s="105" t="s">
        <v>121</v>
      </c>
      <c r="D21" s="145" t="str">
        <f>IFERROR(__xludf.DUMMYFUNCTION("SPLIT(TEXTJOIN("","", TRUE, addCategory!A5, addCategory!C5, addCategory!E5, addCategory!J5, addCategory!K5, addCategory!L5, addCategory!M5), "","")
"),"#REF!")</f>
        <v>#REF!</v>
      </c>
      <c r="E21" s="145"/>
      <c r="F21" s="145"/>
      <c r="G21" s="145"/>
      <c r="H21" s="145"/>
      <c r="I21" s="145"/>
      <c r="J21" s="145"/>
      <c r="K21" s="144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</row>
    <row r="22" ht="13.5" customHeight="1">
      <c r="A22" s="146"/>
      <c r="B22" s="145">
        <v>13.0</v>
      </c>
      <c r="C22" s="105" t="s">
        <v>124</v>
      </c>
      <c r="D22" s="145" t="str">
        <f>IFERROR(__xludf.DUMMYFUNCTION("SPLIT(TEXTJOIN("","", TRUE, getCategorybyID!A5, getCategorybyID!C5, getCategorybyID!E5, getCategorybyID!J5, getCategorybyID!K5, getCategorybyID!L5, getCategorybyID!M5), "","")
"),"#REF!")</f>
        <v>#REF!</v>
      </c>
      <c r="E22" s="145"/>
      <c r="F22" s="145"/>
      <c r="G22" s="145"/>
      <c r="H22" s="145"/>
      <c r="I22" s="145"/>
      <c r="J22" s="145"/>
      <c r="K22" s="144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</row>
    <row r="23" ht="13.5" customHeight="1">
      <c r="A23" s="146"/>
      <c r="B23" s="145">
        <v>14.0</v>
      </c>
      <c r="C23" s="105" t="s">
        <v>127</v>
      </c>
      <c r="D23" s="145" t="str">
        <f>IFERROR(__xludf.DUMMYFUNCTION("SPLIT(TEXTJOIN("","", TRUE, updateCategory!A5, updateCategory!C5, updateCategory!E5, updateCategory!J5, updateCategory!K5, updateCategory!L5, updateCategory!M5), "","")
"),"#REF!")</f>
        <v>#REF!</v>
      </c>
      <c r="E23" s="145"/>
      <c r="F23" s="145"/>
      <c r="G23" s="145"/>
      <c r="H23" s="145"/>
      <c r="I23" s="145"/>
      <c r="J23" s="145"/>
      <c r="K23" s="144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</row>
    <row r="24" ht="13.5" customHeight="1">
      <c r="A24" s="146"/>
      <c r="B24" s="145">
        <v>15.0</v>
      </c>
      <c r="C24" s="105" t="s">
        <v>131</v>
      </c>
      <c r="D24" s="145" t="str">
        <f>IFERROR(__xludf.DUMMYFUNCTION("SPLIT(TEXTJOIN("","", TRUE, deleteCategory!A5, deleteCategory!C5, deleteCategory!E5, deleteCategory!J5, deleteCategory!K5, deleteCategory!L5, deleteCategory!M5), "","")
"),"#REF!")</f>
        <v>#REF!</v>
      </c>
      <c r="E24" s="145"/>
      <c r="F24" s="145"/>
      <c r="G24" s="145"/>
      <c r="H24" s="145"/>
      <c r="I24" s="145"/>
      <c r="J24" s="145"/>
      <c r="K24" s="144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</row>
    <row r="25" ht="13.5" customHeight="1">
      <c r="A25" s="146"/>
      <c r="B25" s="145">
        <v>16.0</v>
      </c>
      <c r="C25" s="105" t="s">
        <v>134</v>
      </c>
      <c r="D25" s="145" t="str">
        <f>IFERROR(__xludf.DUMMYFUNCTION("SPLIT(TEXTJOIN("","", TRUE, changeStatusCategory!A5, changeStatusCategory!C5, changeStatusCategory!E5, changeStatusCategory!J5, changeStatusCategory!K5, changeStatusCategory!L5, changeStatusCategory!M5), "","")
"),"#REF!")</f>
        <v>#REF!</v>
      </c>
      <c r="E25" s="145"/>
      <c r="F25" s="145"/>
      <c r="G25" s="145"/>
      <c r="H25" s="145"/>
      <c r="I25" s="145"/>
      <c r="J25" s="145"/>
      <c r="K25" s="144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</row>
    <row r="26" ht="13.5" customHeight="1">
      <c r="A26" s="146"/>
      <c r="B26" s="145">
        <v>17.0</v>
      </c>
      <c r="C26" s="105" t="s">
        <v>137</v>
      </c>
      <c r="D26" s="145" t="str">
        <f>IFERROR(__xludf.DUMMYFUNCTION("SPLIT(TEXTJOIN("","", TRUE, addModule!A5, addModule!C5, addModule!E5, addModule!J5, addModule!K5, addModule!L5, addModule!M5), "","")
"),"#REF!")</f>
        <v>#REF!</v>
      </c>
      <c r="E26" s="145"/>
      <c r="F26" s="145"/>
      <c r="G26" s="145"/>
      <c r="H26" s="145"/>
      <c r="I26" s="145"/>
      <c r="J26" s="145"/>
      <c r="K26" s="144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</row>
    <row r="27" ht="13.5" customHeight="1">
      <c r="A27" s="146"/>
      <c r="B27" s="145">
        <v>18.0</v>
      </c>
      <c r="C27" s="105" t="s">
        <v>140</v>
      </c>
      <c r="D27" s="145" t="str">
        <f>IFERROR(__xludf.DUMMYFUNCTION("SPLIT(TEXTJOIN("","", TRUE, getModulebyProject!A5, getModulebyProject!C5, getModulebyProject!E5, getModulebyProject!J5, getModulebyProject!K5, getModulebyProject!L5, getModulebyProject!M5), "","")
"),"#REF!")</f>
        <v>#REF!</v>
      </c>
      <c r="E27" s="145"/>
      <c r="F27" s="145"/>
      <c r="G27" s="145"/>
      <c r="H27" s="145"/>
      <c r="I27" s="145"/>
      <c r="J27" s="145"/>
      <c r="K27" s="144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</row>
    <row r="28" ht="13.5" customHeight="1">
      <c r="A28" s="146"/>
      <c r="B28" s="145">
        <v>19.0</v>
      </c>
      <c r="C28" s="105" t="s">
        <v>143</v>
      </c>
      <c r="D28" s="145" t="str">
        <f>IFERROR(__xludf.DUMMYFUNCTION("SPLIT(TEXTJOIN("","", TRUE, updateModule!A5, updateModule!C5, updateModule!E5, updateModule!J5, updateModule!K5, updateModule!L5, updateModule!M5), "","")
"),"#REF!")</f>
        <v>#REF!</v>
      </c>
      <c r="E28" s="145"/>
      <c r="F28" s="145"/>
      <c r="G28" s="145"/>
      <c r="H28" s="145"/>
      <c r="I28" s="145"/>
      <c r="J28" s="145"/>
      <c r="K28" s="144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</row>
    <row r="29" ht="13.5" customHeight="1">
      <c r="A29" s="146"/>
      <c r="B29" s="145">
        <v>20.0</v>
      </c>
      <c r="C29" s="105" t="s">
        <v>146</v>
      </c>
      <c r="D29" s="145" t="str">
        <f>IFERROR(__xludf.DUMMYFUNCTION("SPLIT(TEXTJOIN("","", TRUE, deleteModule!A5, deleteModule!C5, deleteModule!E5, deleteModule!J5, deleteModule!K5, deleteModule!L5, deleteModule!M5), "","")
"),"#REF!")</f>
        <v>#REF!</v>
      </c>
      <c r="E29" s="145"/>
      <c r="F29" s="145"/>
      <c r="G29" s="145"/>
      <c r="H29" s="145"/>
      <c r="I29" s="145"/>
      <c r="J29" s="145"/>
      <c r="K29" s="144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</row>
    <row r="30" ht="13.5" customHeight="1">
      <c r="A30" s="146"/>
      <c r="B30" s="145">
        <v>21.0</v>
      </c>
      <c r="C30" s="105" t="s">
        <v>150</v>
      </c>
      <c r="D30" s="145" t="str">
        <f>IFERROR(__xludf.DUMMYFUNCTION("SPLIT(TEXTJOIN("","", TRUE, createContentItem!A5, createContentItem!C5, createContentItem!E5, createContentItem!J5, createContentItem!K5, createContentItem!L5, createContentItem!M5), "","")
"),"#REF!")</f>
        <v>#REF!</v>
      </c>
      <c r="E30" s="145"/>
      <c r="F30" s="145"/>
      <c r="G30" s="145"/>
      <c r="H30" s="145"/>
      <c r="I30" s="145"/>
      <c r="J30" s="145"/>
      <c r="K30" s="144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</row>
    <row r="31" ht="13.5" customHeight="1">
      <c r="A31" s="146"/>
      <c r="B31" s="145">
        <v>22.0</v>
      </c>
      <c r="C31" s="105" t="s">
        <v>153</v>
      </c>
      <c r="D31" s="145" t="str">
        <f>IFERROR(__xludf.DUMMYFUNCTION("SPLIT(TEXTJOIN("","", TRUE, getFullContentItem!A5, getFullContentItem!C5, getFullContentItem!E5, getFullContentItem!J5, getFullContentItem!K5, getFullContentItem!L5, getFullContentItem!M5), "","")
"),"#REF!")</f>
        <v>#REF!</v>
      </c>
      <c r="E31" s="145"/>
      <c r="F31" s="145"/>
      <c r="G31" s="145"/>
      <c r="H31" s="145"/>
      <c r="I31" s="145"/>
      <c r="J31" s="145"/>
      <c r="K31" s="144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</row>
    <row r="32" ht="13.5" customHeight="1">
      <c r="A32" s="146"/>
      <c r="B32" s="145">
        <v>23.0</v>
      </c>
      <c r="C32" s="105" t="s">
        <v>156</v>
      </c>
      <c r="D32" s="145" t="str">
        <f>IFERROR(__xludf.DUMMYFUNCTION("SPLIT(TEXTJOIN("","", TRUE, getContentItembyID!A5, getContentItembyID!C5, getContentItembyID!E5, getContentItembyID!J5, getContentItembyID!K5, getContentItembyID!L5, getContentItembyID!M5), "","")
"),"#REF!")</f>
        <v>#REF!</v>
      </c>
      <c r="E32" s="145"/>
      <c r="F32" s="145"/>
      <c r="G32" s="145"/>
      <c r="H32" s="145"/>
      <c r="I32" s="145"/>
      <c r="J32" s="145"/>
      <c r="K32" s="144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</row>
    <row r="33" ht="13.5" customHeight="1">
      <c r="A33" s="146"/>
      <c r="B33" s="145">
        <v>24.0</v>
      </c>
      <c r="C33" s="77" t="s">
        <v>81</v>
      </c>
      <c r="D33" s="145" t="str">
        <f>IFERROR(__xludf.DUMMYFUNCTION("SPLIT(TEXTJOIN("","", TRUE, deleteContentItem!A5, deleteContentItem!C5, deleteContentItem!E5, deleteContentItem!J5, deleteContentItem!K5, deleteContentItem!L5, deleteContentItem!M5), "","")
"),"#REF!")</f>
        <v>#REF!</v>
      </c>
      <c r="E33" s="145"/>
      <c r="F33" s="145"/>
      <c r="G33" s="145"/>
      <c r="H33" s="145"/>
      <c r="I33" s="145"/>
      <c r="J33" s="145"/>
      <c r="K33" s="144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 ht="13.5" customHeight="1">
      <c r="A34" s="146"/>
      <c r="B34" s="145">
        <v>25.0</v>
      </c>
      <c r="C34" s="77" t="s">
        <v>82</v>
      </c>
      <c r="D34" s="145" t="str">
        <f>IFERROR(__xludf.DUMMYFUNCTION("SPLIT(TEXTJOIN("","", TRUE, addQuiz!A5, addQuiz!C5, addQuiz!E5, addQuiz!J5, addQuiz!K5, addQuiz!L5, addQuiz!M5), "","")
"),"#REF!")</f>
        <v>#REF!</v>
      </c>
      <c r="E34" s="145"/>
      <c r="F34" s="145"/>
      <c r="G34" s="145"/>
      <c r="H34" s="145"/>
      <c r="I34" s="145"/>
      <c r="J34" s="145"/>
      <c r="K34" s="144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</row>
    <row r="35" ht="13.5" customHeight="1">
      <c r="A35" s="146"/>
      <c r="B35" s="145">
        <v>26.0</v>
      </c>
      <c r="C35" s="77" t="s">
        <v>90</v>
      </c>
      <c r="D35" s="145" t="str">
        <f>IFERROR(__xludf.DUMMYFUNCTION("SPLIT(TEXTJOIN("","", TRUE, updateQuiz!A5, updateQuiz!C5, updateQuiz!E5, updateQuiz!J5, updateQuiz!K5, updateQuiz!L5, updateQuiz!M5), "","")
"),"#REF!")</f>
        <v>#REF!</v>
      </c>
      <c r="E35" s="145"/>
      <c r="F35" s="145"/>
      <c r="G35" s="145"/>
      <c r="H35" s="145"/>
      <c r="I35" s="145"/>
      <c r="J35" s="145"/>
      <c r="K35" s="144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</row>
    <row r="36" ht="13.5" customHeight="1">
      <c r="A36" s="146"/>
      <c r="B36" s="145">
        <v>27.0</v>
      </c>
      <c r="C36" s="77" t="s">
        <v>94</v>
      </c>
      <c r="D36" s="145" t="str">
        <f>IFERROR(__xludf.DUMMYFUNCTION("SPLIT(TEXTJOIN("","", TRUE, deleteQuiz!A5, deleteQuiz!C5, deleteQuiz!E5, deleteQuiz!J5, deleteQuiz!K5, deleteQuiz!L5, deleteQuiz!M5), "","")
"),"#REF!")</f>
        <v>#REF!</v>
      </c>
      <c r="E36" s="145"/>
      <c r="F36" s="145"/>
      <c r="G36" s="145"/>
      <c r="H36" s="145"/>
      <c r="I36" s="145"/>
      <c r="J36" s="145"/>
      <c r="K36" s="144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</row>
    <row r="37" ht="13.5" customHeight="1">
      <c r="A37" s="146"/>
      <c r="B37" s="145">
        <v>28.0</v>
      </c>
      <c r="C37" s="90" t="s">
        <v>97</v>
      </c>
      <c r="D37" s="145" t="str">
        <f>IFERROR(__xludf.DUMMYFUNCTION("SPLIT(TEXTJOIN("","", TRUE, createAssignment!A5, createAssignment!C5, createAssignment!E5, createAssignment!J5, createAssignment!K5, createAssignment!L5, createAssignment!M5), "","")
"),"#REF!")</f>
        <v>#REF!</v>
      </c>
      <c r="E37" s="145"/>
      <c r="F37" s="145"/>
      <c r="G37" s="145"/>
      <c r="H37" s="145"/>
      <c r="I37" s="145"/>
      <c r="J37" s="145"/>
      <c r="K37" s="144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</row>
    <row r="38" ht="13.5" customHeight="1">
      <c r="A38" s="146"/>
      <c r="B38" s="145">
        <v>29.0</v>
      </c>
      <c r="C38" s="93" t="s">
        <v>101</v>
      </c>
      <c r="D38" s="145" t="str">
        <f>IFERROR(__xludf.DUMMYFUNCTION("SPLIT(TEXTJOIN("","", TRUE, updateAssignment!A5, updateAssignment!C5, updateAssignment!E5, updateAssignment!J5, updateAssignment!K5, updateAssignment!L5, updateAssignment!M5), "","")
"),"#REF!")</f>
        <v>#REF!</v>
      </c>
      <c r="E38" s="145"/>
      <c r="F38" s="145"/>
      <c r="G38" s="145"/>
      <c r="H38" s="145"/>
      <c r="I38" s="145"/>
      <c r="J38" s="145"/>
      <c r="K38" s="144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</row>
    <row r="39" ht="13.5" customHeight="1">
      <c r="A39" s="146"/>
      <c r="B39" s="145">
        <v>30.0</v>
      </c>
      <c r="C39" s="93" t="s">
        <v>104</v>
      </c>
      <c r="D39" s="145" t="str">
        <f>IFERROR(__xludf.DUMMYFUNCTION("SPLIT(TEXTJOIN("","", TRUE, deleteAssignment!A5, deleteAssignment!C5, deleteAssignment!E5, deleteAssignment!J5, deleteAssignment!K5, deleteAssignment!L5, deleteAssignment!M5), "","")
"),"#REF!")</f>
        <v>#REF!</v>
      </c>
      <c r="E39" s="145"/>
      <c r="F39" s="145"/>
      <c r="G39" s="145"/>
      <c r="H39" s="145"/>
      <c r="I39" s="145"/>
      <c r="J39" s="145"/>
      <c r="K39" s="144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</row>
    <row r="40" ht="13.5" customHeight="1">
      <c r="A40" s="146"/>
      <c r="B40" s="145">
        <v>31.0</v>
      </c>
      <c r="C40" s="93" t="s">
        <v>107</v>
      </c>
      <c r="D40" s="145" t="str">
        <f>IFERROR(__xludf.DUMMYFUNCTION("SPLIT(TEXTJOIN("","", TRUE, getAssignmentbyProject!A5, getAssignmentbyProject!C5, getAssignmentbyProject!E5, getAssignmentbyProject!J5, getAssignmentbyProject!K5, getAssignmentbyProject!L5, getAssignmentbyProject!M5), "","")
"),"#REF!")</f>
        <v>#REF!</v>
      </c>
      <c r="E40" s="145"/>
      <c r="F40" s="145"/>
      <c r="G40" s="145"/>
      <c r="H40" s="145"/>
      <c r="I40" s="145"/>
      <c r="J40" s="145"/>
      <c r="K40" s="144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ht="13.5" customHeight="1">
      <c r="A41" s="146"/>
      <c r="B41" s="145">
        <v>32.0</v>
      </c>
      <c r="C41" s="93" t="s">
        <v>110</v>
      </c>
      <c r="D41" s="145" t="str">
        <f>IFERROR(__xludf.DUMMYFUNCTION("SPLIT(TEXTJOIN("","", TRUE, importQuestion!A5, importQuestion!C5, importQuestion!E5, importQuestion!J5, importQuestion!K5, importQuestion!L5, importQuestion!M5), "","")
"),"#REF!")</f>
        <v>#REF!</v>
      </c>
      <c r="E41" s="145"/>
      <c r="F41" s="145"/>
      <c r="G41" s="145"/>
      <c r="H41" s="145"/>
      <c r="I41" s="145"/>
      <c r="J41" s="145"/>
      <c r="K41" s="144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</row>
    <row r="42" ht="13.5" customHeight="1">
      <c r="A42" s="146"/>
      <c r="B42" s="145">
        <v>33.0</v>
      </c>
      <c r="C42" s="93" t="s">
        <v>113</v>
      </c>
      <c r="D42" s="145" t="str">
        <f>IFERROR(__xludf.DUMMYFUNCTION("SPLIT(TEXTJOIN("","", TRUE, getQuestionsByQuiz!A5, getQuestionsByQuiz!C5, getQuestionsByQuiz!E5, getQuestionsByQuiz!J5, getQuestionsByQuiz!K5, getQuestionsByQuiz!L5, getQuestionsByQuiz!M5), "","")
"),"#REF!")</f>
        <v>#REF!</v>
      </c>
      <c r="E42" s="145"/>
      <c r="F42" s="145"/>
      <c r="G42" s="145"/>
      <c r="H42" s="145"/>
      <c r="I42" s="145"/>
      <c r="J42" s="145"/>
      <c r="K42" s="144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</row>
    <row r="43" ht="13.5" customHeight="1">
      <c r="A43" s="146"/>
      <c r="B43" s="145">
        <v>34.0</v>
      </c>
      <c r="C43" s="99" t="s">
        <v>117</v>
      </c>
      <c r="D43" s="145">
        <f>IFERROR(__xludf.DUMMYFUNCTION("SPLIT(TEXTJOIN("","", TRUE, getChapterList!A5, getChapterList!C5, getChapterList!E5, getChapterList!J5, getChapterList!K5, getChapterList!L5, getChapterList!M5), "","")
"),4.0)</f>
        <v>4</v>
      </c>
      <c r="E43" s="145">
        <f>IFERROR(__xludf.DUMMYFUNCTION("""COMPUTED_VALUE"""),0.0)</f>
        <v>0</v>
      </c>
      <c r="F43" s="145">
        <f>IFERROR(__xludf.DUMMYFUNCTION("""COMPUTED_VALUE"""),0.0)</f>
        <v>0</v>
      </c>
      <c r="G43" s="145">
        <f>IFERROR(__xludf.DUMMYFUNCTION("""COMPUTED_VALUE"""),1.0)</f>
        <v>1</v>
      </c>
      <c r="H43" s="145">
        <f>IFERROR(__xludf.DUMMYFUNCTION("""COMPUTED_VALUE"""),3.0)</f>
        <v>3</v>
      </c>
      <c r="I43" s="145">
        <f>IFERROR(__xludf.DUMMYFUNCTION("""COMPUTED_VALUE"""),0.0)</f>
        <v>0</v>
      </c>
      <c r="J43" s="145">
        <f>IFERROR(__xludf.DUMMYFUNCTION("""COMPUTED_VALUE"""),4.0)</f>
        <v>4</v>
      </c>
      <c r="K43" s="144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</row>
    <row r="44" ht="13.5" customHeight="1">
      <c r="A44" s="146"/>
      <c r="B44" s="145">
        <v>35.0</v>
      </c>
      <c r="C44" s="105" t="s">
        <v>121</v>
      </c>
      <c r="D44" s="145" t="str">
        <f>IFERROR(__xludf.DUMMYFUNCTION("SPLIT(TEXTJOIN("","", TRUE, createMediaAsset!A5, createMediaAsset!C5, createMediaAsset!E5, createMediaAsset!J5, createMediaAsset!K5, createMediaAsset!L5, createMediaAsset!M5), "","")
"),"#REF!")</f>
        <v>#REF!</v>
      </c>
      <c r="E44" s="145"/>
      <c r="F44" s="145"/>
      <c r="G44" s="145"/>
      <c r="H44" s="145"/>
      <c r="I44" s="145"/>
      <c r="J44" s="145"/>
      <c r="K44" s="144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</row>
    <row r="45" ht="13.5" customHeight="1">
      <c r="A45" s="146"/>
      <c r="B45" s="145">
        <v>36.0</v>
      </c>
      <c r="C45" s="105" t="s">
        <v>124</v>
      </c>
      <c r="D45" s="145" t="str">
        <f>IFERROR(__xludf.DUMMYFUNCTION("SPLIT(TEXTJOIN("","", TRUE, updateMediaAsset!A5, updateMediaAsset!C5, updateMediaAsset!E5, updateMediaAsset!J5, updateMediaAsset!K5, updateMediaAsset!L5, updateMediaAsset!M5), "","")
"),"#REF!")</f>
        <v>#REF!</v>
      </c>
      <c r="E45" s="145"/>
      <c r="F45" s="145"/>
      <c r="G45" s="145"/>
      <c r="H45" s="145"/>
      <c r="I45" s="145"/>
      <c r="J45" s="145"/>
      <c r="K45" s="144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</row>
    <row r="46" ht="13.5" customHeight="1">
      <c r="A46" s="146"/>
      <c r="B46" s="145">
        <v>37.0</v>
      </c>
      <c r="C46" s="105" t="s">
        <v>127</v>
      </c>
      <c r="D46" s="145" t="str">
        <f>IFERROR(__xludf.DUMMYFUNCTION("SPLIT(TEXTJOIN("","", TRUE, getMediaAssetbyProject!A5, getMediaAssetbyProject!C5, getMediaAssetbyProject!E5, getMediaAssetbyProject!J5, getMediaAssetbyProject!K5, getMediaAssetbyProject!L5, getMediaAssetbyProject!M5), "","")
"),"#REF!")</f>
        <v>#REF!</v>
      </c>
      <c r="E46" s="145"/>
      <c r="F46" s="145"/>
      <c r="G46" s="145"/>
      <c r="H46" s="145"/>
      <c r="I46" s="145"/>
      <c r="J46" s="145"/>
      <c r="K46" s="144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</row>
    <row r="47" ht="13.5" customHeight="1">
      <c r="A47" s="146"/>
      <c r="B47" s="145">
        <v>38.0</v>
      </c>
      <c r="C47" s="105" t="s">
        <v>131</v>
      </c>
      <c r="D47" s="145" t="str">
        <f>IFERROR(__xludf.DUMMYFUNCTION("SPLIT(TEXTJOIN("","", TRUE, deleteMediaAsset!A5, deleteMediaAsset!C5, deleteMediaAsset!E5, deleteMediaAsset!J5, deleteMediaAsset!K5, deleteMediaAsset!L5, deleteMediaAsset!M5), "","")
"),"#REF!")</f>
        <v>#REF!</v>
      </c>
      <c r="E47" s="145"/>
      <c r="F47" s="145"/>
      <c r="G47" s="145"/>
      <c r="H47" s="145"/>
      <c r="I47" s="145"/>
      <c r="J47" s="145"/>
      <c r="K47" s="144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</row>
    <row r="48" ht="13.5" customHeight="1">
      <c r="A48" s="146"/>
      <c r="B48" s="145">
        <v>39.0</v>
      </c>
      <c r="C48" s="105" t="s">
        <v>134</v>
      </c>
      <c r="D48" s="145" t="str">
        <f>IFERROR(__xludf.DUMMYFUNCTION("SPLIT(TEXTJOIN("","", TRUE, addThread!A5, addThread!C5, addThread!E5, addThread!J5, addThread!K5, addThread!L5, addThread!M5), "","")
"),"#REF!")</f>
        <v>#REF!</v>
      </c>
      <c r="E48" s="145"/>
      <c r="F48" s="145"/>
      <c r="G48" s="145"/>
      <c r="H48" s="145"/>
      <c r="I48" s="145"/>
      <c r="J48" s="145"/>
      <c r="K48" s="144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</row>
    <row r="49" ht="13.5" customHeight="1">
      <c r="A49" s="146"/>
      <c r="B49" s="145">
        <v>40.0</v>
      </c>
      <c r="C49" s="105" t="s">
        <v>137</v>
      </c>
      <c r="D49" s="145" t="str">
        <f>IFERROR(__xludf.DUMMYFUNCTION("SPLIT(TEXTJOIN("","", TRUE, createPost!A5, createPost!C5, createPost!E5, createPost!J5, createPost!K5, createPost!L5, createPost!M5), "","")
"),"#REF!")</f>
        <v>#REF!</v>
      </c>
      <c r="E49" s="145"/>
      <c r="F49" s="145"/>
      <c r="G49" s="145"/>
      <c r="H49" s="145"/>
      <c r="I49" s="145"/>
      <c r="J49" s="145"/>
      <c r="K49" s="144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</row>
    <row r="50" ht="13.5" customHeight="1">
      <c r="A50" s="146"/>
      <c r="B50" s="145">
        <v>41.0</v>
      </c>
      <c r="C50" s="105" t="s">
        <v>140</v>
      </c>
      <c r="D50" s="145" t="str">
        <f>IFERROR(__xludf.DUMMYFUNCTION("SPLIT(TEXTJOIN("","", TRUE, addToCart!A5, addToCart!C5, addToCart!E5, addToCart!J5, addToCart!K5, addToCart!L5, addToCart!M5), "","")
"),"#REF!")</f>
        <v>#REF!</v>
      </c>
      <c r="E50" s="145"/>
      <c r="F50" s="145"/>
      <c r="G50" s="145"/>
      <c r="H50" s="145"/>
      <c r="I50" s="145"/>
      <c r="J50" s="145"/>
      <c r="K50" s="144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</row>
    <row r="51" ht="13.5" customHeight="1">
      <c r="A51" s="146"/>
      <c r="B51" s="145">
        <v>42.0</v>
      </c>
      <c r="C51" s="105" t="s">
        <v>143</v>
      </c>
      <c r="D51" s="145" t="str">
        <f>IFERROR(__xludf.DUMMYFUNCTION("SPLIT(TEXTJOIN("","", TRUE, removeFromCart!A5, removeFromCart!C5, removeFromCart!E5, removeFromCart!J5, removeFromCart!K5, removeFromCart!L5, removeFromCart!M5), "","")
"),"#REF!")</f>
        <v>#REF!</v>
      </c>
      <c r="E51" s="145"/>
      <c r="F51" s="145"/>
      <c r="G51" s="145"/>
      <c r="H51" s="145"/>
      <c r="I51" s="145"/>
      <c r="J51" s="145"/>
      <c r="K51" s="144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</row>
    <row r="52" ht="13.5" customHeight="1">
      <c r="A52" s="146"/>
      <c r="B52" s="145">
        <v>43.0</v>
      </c>
      <c r="C52" s="105" t="s">
        <v>146</v>
      </c>
      <c r="D52" s="145" t="str">
        <f>IFERROR(__xludf.DUMMYFUNCTION("SPLIT(TEXTJOIN("","", TRUE, createInvoiceFromPayment!A5, createInvoiceFromPayment!C5, createInvoiceFromPayment!E5, createInvoiceFromPayment!J5, createInvoiceFromPayment!K5, createInvoiceFromPayment!L5, createInvoiceFromPayment!M5), "","")
"),"#REF!")</f>
        <v>#REF!</v>
      </c>
      <c r="E52" s="145"/>
      <c r="F52" s="145"/>
      <c r="G52" s="145"/>
      <c r="H52" s="145"/>
      <c r="I52" s="145"/>
      <c r="J52" s="145"/>
      <c r="K52" s="144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</row>
    <row r="53" ht="13.5" customHeight="1">
      <c r="A53" s="146"/>
      <c r="B53" s="145">
        <v>44.0</v>
      </c>
      <c r="C53" s="105" t="s">
        <v>150</v>
      </c>
      <c r="D53" s="145" t="str">
        <f>IFERROR(__xludf.DUMMYFUNCTION("SPLIT(TEXTJOIN("","", TRUE, getInvoiceByID!A5, getInvoiceByID!C5, getInvoiceByID!E5, getInvoiceByID!J5, getInvoiceByID!K5, getInvoiceByID!L5, getInvoiceByID!M5), "","")
"),"#REF!")</f>
        <v>#REF!</v>
      </c>
      <c r="E53" s="145"/>
      <c r="F53" s="145"/>
      <c r="G53" s="145"/>
      <c r="H53" s="145"/>
      <c r="I53" s="145"/>
      <c r="J53" s="145"/>
      <c r="K53" s="144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</row>
    <row r="54" ht="13.5" customHeight="1">
      <c r="A54" s="146"/>
      <c r="B54" s="145">
        <v>45.0</v>
      </c>
      <c r="C54" s="105" t="s">
        <v>153</v>
      </c>
      <c r="D54" s="145" t="str">
        <f>IFERROR(__xludf.DUMMYFUNCTION("SPLIT(TEXTJOIN("","", TRUE, joinClass!A5, joinClass!C5, joinClass!E5, joinClass!J5, joinClass!K5, joinClass!L5, joinClass!M5), "","")
"),"#REF!")</f>
        <v>#REF!</v>
      </c>
      <c r="E54" s="145"/>
      <c r="F54" s="145"/>
      <c r="G54" s="145"/>
      <c r="H54" s="145"/>
      <c r="I54" s="145"/>
      <c r="J54" s="145"/>
      <c r="K54" s="144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ht="13.5" customHeight="1">
      <c r="A55" s="146"/>
      <c r="B55" s="145">
        <v>46.0</v>
      </c>
      <c r="C55" s="105" t="s">
        <v>156</v>
      </c>
      <c r="D55" s="145" t="str">
        <f>IFERROR(__xludf.DUMMYFUNCTION("SPLIT(TEXTJOIN("","", TRUE, changeClass!A5, changeClass!C5, changeClass!E5, changeClass!J5, changeClass!K5, changeClass!L5, changeClass!M5), "","")
"),"#REF!")</f>
        <v>#REF!</v>
      </c>
      <c r="E55" s="145"/>
      <c r="F55" s="145"/>
      <c r="G55" s="145"/>
      <c r="H55" s="145"/>
      <c r="I55" s="145"/>
      <c r="J55" s="145"/>
      <c r="K55" s="144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</row>
    <row r="56" ht="13.5" customHeight="1">
      <c r="A56" s="146"/>
      <c r="B56" s="145">
        <v>47.0</v>
      </c>
      <c r="C56" s="148" t="s">
        <v>170</v>
      </c>
      <c r="D56" s="145" t="str">
        <f>IFERROR(__xludf.DUMMYFUNCTION("SPLIT(TEXTJOIN("","", TRUE, createClass!A5, createClass!C5, createClass!E5, createClass!J5, createClass!K5, createClass!L5, createClass!M5), "","")
"),"#REF!")</f>
        <v>#REF!</v>
      </c>
      <c r="E56" s="145"/>
      <c r="F56" s="145"/>
      <c r="G56" s="145"/>
      <c r="H56" s="145"/>
      <c r="I56" s="145"/>
      <c r="J56" s="145"/>
      <c r="K56" s="144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</row>
    <row r="57" ht="13.5" customHeight="1">
      <c r="A57" s="146"/>
      <c r="B57" s="145">
        <v>48.0</v>
      </c>
      <c r="C57" s="148" t="s">
        <v>171</v>
      </c>
      <c r="D57" s="145" t="str">
        <f>IFERROR(__xludf.DUMMYFUNCTION("SPLIT(TEXTJOIN("","", TRUE, createContest!A5, createContest!C5, createContest!E5, createContest!J5, createContest!K5, createContest!L5, createContest!M5), "","")
"),"#REF!")</f>
        <v>#REF!</v>
      </c>
      <c r="E57" s="145"/>
      <c r="F57" s="145"/>
      <c r="G57" s="145"/>
      <c r="H57" s="145"/>
      <c r="I57" s="145"/>
      <c r="J57" s="145"/>
      <c r="K57" s="144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</row>
    <row r="58" ht="13.5" customHeight="1">
      <c r="A58" s="146"/>
      <c r="B58" s="145">
        <v>49.0</v>
      </c>
      <c r="C58" s="148" t="s">
        <v>172</v>
      </c>
      <c r="D58" s="145" t="str">
        <f>IFERROR(__xludf.DUMMYFUNCTION("SPLIT(TEXTJOIN("","", TRUE, deleteContest!A5, deleteContest!C5, deleteContest!E5, deleteContest!J5, deleteContest!K5, deleteContest!L5, deleteContest!M5), "","")
"),"#REF!")</f>
        <v>#REF!</v>
      </c>
      <c r="E58" s="145"/>
      <c r="F58" s="145"/>
      <c r="G58" s="145"/>
      <c r="H58" s="145"/>
      <c r="I58" s="145"/>
      <c r="J58" s="145"/>
      <c r="K58" s="144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</row>
    <row r="59" ht="13.5" customHeight="1">
      <c r="A59" s="146"/>
      <c r="B59" s="145">
        <v>50.0</v>
      </c>
      <c r="C59" s="148" t="s">
        <v>173</v>
      </c>
      <c r="D59" s="145" t="str">
        <f>IFERROR(__xludf.DUMMYFUNCTION("SPLIT(TEXTJOIN("","", TRUE, updateContest!A5, updateContest!C5, updateContest!E5, updateContest!J5, updateContest!K5, updateContest!L5, updateContest!M5), "","")
"),"#REF!")</f>
        <v>#REF!</v>
      </c>
      <c r="E59" s="145"/>
      <c r="F59" s="145"/>
      <c r="G59" s="145"/>
      <c r="H59" s="145"/>
      <c r="I59" s="145"/>
      <c r="J59" s="145"/>
      <c r="K59" s="144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</row>
    <row r="60" ht="13.5" customHeight="1">
      <c r="A60" s="146"/>
      <c r="B60" s="145">
        <v>51.0</v>
      </c>
      <c r="C60" s="148" t="s">
        <v>174</v>
      </c>
      <c r="D60" s="145" t="str">
        <f>IFERROR(__xludf.DUMMYFUNCTION("SPLIT(TEXTJOIN("","", TRUE, getContestbyID!A5, getContestbyID!C5, getContestbyID!E5, getContestbyID!J5, getContestbyID!K5, getContestbyID!L5, getContestbyID!M5), "","")
"),"#REF!")</f>
        <v>#REF!</v>
      </c>
      <c r="E60" s="145"/>
      <c r="F60" s="145"/>
      <c r="G60" s="145"/>
      <c r="H60" s="145"/>
      <c r="I60" s="145"/>
      <c r="J60" s="145"/>
      <c r="K60" s="144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</row>
    <row r="61" ht="13.5" customHeight="1">
      <c r="A61" s="146"/>
      <c r="B61" s="145">
        <v>52.0</v>
      </c>
      <c r="C61" s="148" t="s">
        <v>175</v>
      </c>
      <c r="D61" s="145" t="str">
        <f>IFERROR(__xludf.DUMMYFUNCTION("SPLIT(TEXTJOIN("","", TRUE, getActiveContestbyID!A5, getActiveContestbyID!C5, getActiveContestbyID!E5, getActiveContestbyID!J5, getActiveContestbyID!K5, getActiveContestbyID!L5, getActiveContestbyID!M5), "","")
"),"#REF!")</f>
        <v>#REF!</v>
      </c>
      <c r="E61" s="145"/>
      <c r="F61" s="145"/>
      <c r="G61" s="145"/>
      <c r="H61" s="145"/>
      <c r="I61" s="145"/>
      <c r="J61" s="145"/>
      <c r="K61" s="144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</row>
    <row r="62" ht="13.5" customHeight="1">
      <c r="A62" s="146"/>
      <c r="B62" s="145">
        <v>53.0</v>
      </c>
      <c r="C62" s="148" t="s">
        <v>176</v>
      </c>
      <c r="D62" s="145" t="str">
        <f>IFERROR(__xludf.DUMMYFUNCTION("SPLIT(TEXTJOIN("","", TRUE, createFeedback!A5, createFeedback!C5, createFeedback!E5, createFeedback!J5, createFeedback!K5, createFeedback!L5, createFeedback!M5), "","")
"),"#REF!")</f>
        <v>#REF!</v>
      </c>
      <c r="E62" s="145"/>
      <c r="F62" s="145"/>
      <c r="G62" s="145"/>
      <c r="H62" s="145"/>
      <c r="I62" s="145"/>
      <c r="J62" s="145"/>
      <c r="K62" s="144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</row>
    <row r="63" ht="13.5" customHeight="1">
      <c r="A63" s="146"/>
      <c r="B63" s="145">
        <v>54.0</v>
      </c>
      <c r="C63" s="148" t="s">
        <v>177</v>
      </c>
      <c r="D63" s="145" t="str">
        <f>IFERROR(__xludf.DUMMYFUNCTION("SPLIT(TEXTJOIN("","", TRUE, deleteFeedback!A5, deleteFeedback!C5, deleteFeedback!E5, deleteFeedback!J5, deleteFeedback!K5, deleteFeedback!L5, deleteFeedback!M5), "","")
"),"#REF!")</f>
        <v>#REF!</v>
      </c>
      <c r="E63" s="145"/>
      <c r="F63" s="145"/>
      <c r="G63" s="145"/>
      <c r="H63" s="145"/>
      <c r="I63" s="145"/>
      <c r="J63" s="145"/>
      <c r="K63" s="144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</row>
    <row r="64" ht="13.5" customHeight="1">
      <c r="A64" s="146"/>
      <c r="B64" s="145">
        <v>55.0</v>
      </c>
      <c r="C64" s="148" t="s">
        <v>178</v>
      </c>
      <c r="D64" s="145" t="str">
        <f>IFERROR(__xludf.DUMMYFUNCTION("SPLIT(TEXTJOIN("","", TRUE, createStage!A5, createStage!C5, createStage!E5, createStage!J5, createStage!K5, createStage!L5, createStage!M5), "","")
"),"#REF!")</f>
        <v>#REF!</v>
      </c>
      <c r="E64" s="145"/>
      <c r="F64" s="145"/>
      <c r="G64" s="145"/>
      <c r="H64" s="145"/>
      <c r="I64" s="145"/>
      <c r="J64" s="145"/>
      <c r="K64" s="144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</row>
    <row r="65" ht="13.5" customHeight="1">
      <c r="A65" s="146"/>
      <c r="B65" s="145">
        <v>56.0</v>
      </c>
      <c r="C65" s="148" t="s">
        <v>179</v>
      </c>
      <c r="D65" s="145" t="str">
        <f>IFERROR(__xludf.DUMMYFUNCTION("SPLIT(TEXTJOIN("","", TRUE, updateStage!A5, updateStage!C5, updateStage!E5, updateStage!J5, updateStage!K5, updateStage!L5, updateStage!M5), "","")
"),"#REF!")</f>
        <v>#REF!</v>
      </c>
      <c r="E65" s="145"/>
      <c r="F65" s="145"/>
      <c r="G65" s="145"/>
      <c r="H65" s="145"/>
      <c r="I65" s="145"/>
      <c r="J65" s="145"/>
      <c r="K65" s="144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</row>
    <row r="66" ht="13.5" customHeight="1">
      <c r="A66" s="146"/>
      <c r="B66" s="145">
        <v>57.0</v>
      </c>
      <c r="C66" s="148" t="s">
        <v>180</v>
      </c>
      <c r="D66" s="145" t="str">
        <f>IFERROR(__xludf.DUMMYFUNCTION("SPLIT(TEXTJOIN("","", TRUE, deleteStage!A5, deleteStage!C5, deleteStage!E5, deleteStage!J5, deleteStage!K5, deleteStage!L5, deleteStage!M5), "","")
"),"#REF!")</f>
        <v>#REF!</v>
      </c>
      <c r="E66" s="145"/>
      <c r="F66" s="145"/>
      <c r="G66" s="145"/>
      <c r="H66" s="145"/>
      <c r="I66" s="145"/>
      <c r="J66" s="145"/>
      <c r="K66" s="144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</row>
    <row r="67" ht="13.5" customHeight="1">
      <c r="A67" s="146"/>
      <c r="B67" s="145">
        <v>58.0</v>
      </c>
      <c r="C67" s="148" t="s">
        <v>181</v>
      </c>
      <c r="D67" s="145" t="str">
        <f>IFERROR(__xludf.DUMMYFUNCTION("SPLIT(TEXTJOIN("","", TRUE, changeStageStatus!A5, changeStageStatus!C5, changeStageStatus!E5, changeStageStatus!J5, changeStageStatus!K5, changeStageStatus!L5, changeStageStatus!M5), "","")
"),"#REF!")</f>
        <v>#REF!</v>
      </c>
      <c r="E67" s="145"/>
      <c r="F67" s="145"/>
      <c r="G67" s="145"/>
      <c r="H67" s="145"/>
      <c r="I67" s="145"/>
      <c r="J67" s="145"/>
      <c r="K67" s="144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</row>
    <row r="68" ht="13.5" customHeight="1">
      <c r="A68" s="146"/>
      <c r="B68" s="145">
        <v>59.0</v>
      </c>
      <c r="C68" s="148" t="s">
        <v>182</v>
      </c>
      <c r="D68" s="145" t="str">
        <f>IFERROR(__xludf.DUMMYFUNCTION("SPLIT(TEXTJOIN("","", TRUE, getThreadbyID!A5, getThreadbyID!C5, getThreadbyID!E5, getThreadbyID!J5, getThreadbyID!K5, getThreadbyID!L5, getThreadbyID!M5), "","")
"),"#REF!")</f>
        <v>#REF!</v>
      </c>
      <c r="E68" s="145"/>
      <c r="F68" s="145"/>
      <c r="G68" s="145"/>
      <c r="H68" s="145"/>
      <c r="I68" s="145"/>
      <c r="J68" s="145"/>
      <c r="K68" s="144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ht="13.5" customHeight="1">
      <c r="A69" s="146"/>
      <c r="B69" s="145">
        <v>60.0</v>
      </c>
      <c r="C69" s="148" t="s">
        <v>183</v>
      </c>
      <c r="D69" s="145" t="str">
        <f>IFERROR(__xludf.DUMMYFUNCTION("SPLIT(TEXTJOIN("","", TRUE, addThread!A5, addThread!C5, addThread!E5, addThread!J5, addThread!K5, addThread!L5, addThread!M5), "","")
"),"#REF!")</f>
        <v>#REF!</v>
      </c>
      <c r="E69" s="145"/>
      <c r="F69" s="145"/>
      <c r="G69" s="145"/>
      <c r="H69" s="145"/>
      <c r="I69" s="145"/>
      <c r="J69" s="145"/>
      <c r="K69" s="144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ht="13.5" customHeight="1">
      <c r="A70" s="146"/>
      <c r="B70" s="145">
        <v>61.0</v>
      </c>
      <c r="C70" s="148" t="s">
        <v>184</v>
      </c>
      <c r="D70" s="145" t="str">
        <f>IFERROR(__xludf.DUMMYFUNCTION("SPLIT(TEXTJOIN("","", TRUE, updateThread!A5, updateThread!C5, updateThread!E5, updateThread!J5, updateThread!K5, updateThread!L5, updateThread!M5), "","")
"),"#REF!")</f>
        <v>#REF!</v>
      </c>
      <c r="E70" s="145"/>
      <c r="F70" s="145"/>
      <c r="G70" s="145"/>
      <c r="H70" s="145"/>
      <c r="I70" s="145"/>
      <c r="J70" s="145"/>
      <c r="K70" s="144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ht="13.5" customHeight="1">
      <c r="A71" s="146"/>
      <c r="B71" s="145">
        <v>62.0</v>
      </c>
      <c r="C71" s="148" t="s">
        <v>185</v>
      </c>
      <c r="D71" s="145" t="str">
        <f>IFERROR(__xludf.DUMMYFUNCTION("SPLIT(TEXTJOIN("","", TRUE, deleteThread!A5, deleteThread!C5, deleteThread!E5, deleteThread!J5, deleteThread!K5, deleteThread!L5, deleteThread!M5), "","")
"),"#REF!")</f>
        <v>#REF!</v>
      </c>
      <c r="E71" s="145"/>
      <c r="F71" s="145"/>
      <c r="G71" s="145"/>
      <c r="H71" s="145"/>
      <c r="I71" s="145"/>
      <c r="J71" s="145"/>
      <c r="K71" s="144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</row>
    <row r="72" ht="13.5" customHeight="1">
      <c r="A72" s="146"/>
      <c r="B72" s="145">
        <v>63.0</v>
      </c>
      <c r="C72" s="148" t="s">
        <v>186</v>
      </c>
      <c r="D72" s="145" t="str">
        <f>IFERROR(__xludf.DUMMYFUNCTION("SPLIT(TEXTJOIN("","", TRUE, createForumClass!A5, createForumClass!C5, createForumClass!E5, createForumClass!J5, createForumClass!K5, createForumClass!L5, createForumClass!M5), "","")
"),"#REF!")</f>
        <v>#REF!</v>
      </c>
      <c r="E72" s="145"/>
      <c r="F72" s="145"/>
      <c r="G72" s="145"/>
      <c r="H72" s="145"/>
      <c r="I72" s="145"/>
      <c r="J72" s="145"/>
      <c r="K72" s="144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</row>
    <row r="73" ht="13.5" customHeight="1">
      <c r="A73" s="146"/>
      <c r="B73" s="145">
        <v>64.0</v>
      </c>
      <c r="C73" s="148" t="s">
        <v>187</v>
      </c>
      <c r="D73" s="145" t="str">
        <f>IFERROR(__xludf.DUMMYFUNCTION("SPLIT(TEXTJOIN("","", TRUE, createForumProject!A5, createForumProject!C5, createForumProject!E5, createForumProject!J5, createForumProject!K5, createForumProject!L5, createForumProject!M5), "","")
"),"#REF!")</f>
        <v>#REF!</v>
      </c>
      <c r="E73" s="145"/>
      <c r="F73" s="145"/>
      <c r="G73" s="145"/>
      <c r="H73" s="145"/>
      <c r="I73" s="145"/>
      <c r="J73" s="145"/>
      <c r="K73" s="144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</row>
    <row r="74" ht="13.5" customHeight="1">
      <c r="A74" s="149"/>
      <c r="B74" s="150"/>
      <c r="C74" s="151" t="s">
        <v>188</v>
      </c>
      <c r="D74" s="150" t="str">
        <f>SUM(D8:D73)</f>
        <v>#REF!</v>
      </c>
      <c r="E74" s="150" t="str">
        <f t="shared" ref="E74:F74" si="2">SUM(E8:E40)</f>
        <v>#REF!</v>
      </c>
      <c r="F74" s="150" t="str">
        <f t="shared" si="2"/>
        <v>#REF!</v>
      </c>
      <c r="G74" s="150" t="str">
        <f t="shared" ref="G74:J74" si="3">SUM(G8:G73)</f>
        <v>#REF!</v>
      </c>
      <c r="H74" s="150" t="str">
        <f t="shared" si="3"/>
        <v>#REF!</v>
      </c>
      <c r="I74" s="150" t="str">
        <f t="shared" si="3"/>
        <v>#REF!</v>
      </c>
      <c r="J74" s="150" t="str">
        <f t="shared" si="3"/>
        <v>#REF!</v>
      </c>
      <c r="K74" s="144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</row>
    <row r="75" ht="12.75" customHeight="1">
      <c r="A75" s="146"/>
      <c r="B75" s="152"/>
      <c r="C75" s="153"/>
      <c r="D75" s="154"/>
      <c r="E75" s="155"/>
      <c r="F75" s="155"/>
      <c r="G75" s="155"/>
      <c r="H75" s="155"/>
      <c r="I75" s="155"/>
      <c r="J75" s="155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</row>
    <row r="76" ht="12.75" customHeight="1">
      <c r="A76" s="124"/>
      <c r="B76" s="67"/>
      <c r="C76" s="156" t="s">
        <v>189</v>
      </c>
      <c r="D76" s="67"/>
      <c r="E76" s="157" t="str">
        <f>(D74+E74)*100/(J74)</f>
        <v>#REF!</v>
      </c>
      <c r="F76" s="67" t="s">
        <v>190</v>
      </c>
      <c r="G76" s="67"/>
      <c r="H76" s="67"/>
      <c r="I76" s="67"/>
      <c r="J76" s="158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</row>
    <row r="77" ht="12.75" customHeight="1">
      <c r="A77" s="124"/>
      <c r="B77" s="67"/>
      <c r="C77" s="156" t="s">
        <v>191</v>
      </c>
      <c r="D77" s="67"/>
      <c r="E77" s="157" t="str">
        <f>D74*100/(J74)</f>
        <v>#REF!</v>
      </c>
      <c r="F77" s="67" t="s">
        <v>190</v>
      </c>
      <c r="G77" s="67"/>
      <c r="H77" s="67"/>
      <c r="I77" s="67"/>
      <c r="J77" s="158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</row>
    <row r="78" ht="12.75" customHeight="1">
      <c r="A78" s="124"/>
      <c r="B78" s="67"/>
      <c r="C78" s="156" t="s">
        <v>192</v>
      </c>
      <c r="D78" s="67"/>
      <c r="E78" s="157" t="str">
        <f>G74*100/J74</f>
        <v>#REF!</v>
      </c>
      <c r="F78" s="67" t="s">
        <v>190</v>
      </c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</row>
    <row r="79" ht="12.75" customHeight="1">
      <c r="A79" s="124"/>
      <c r="B79" s="67"/>
      <c r="C79" s="156" t="s">
        <v>193</v>
      </c>
      <c r="D79" s="67"/>
      <c r="E79" s="157" t="str">
        <f>H74*100/J74</f>
        <v>#REF!</v>
      </c>
      <c r="F79" s="67" t="s">
        <v>190</v>
      </c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</row>
    <row r="80" ht="12.75" customHeight="1">
      <c r="A80" s="124"/>
      <c r="B80" s="67"/>
      <c r="C80" s="156" t="s">
        <v>194</v>
      </c>
      <c r="D80" s="67"/>
      <c r="E80" s="157" t="str">
        <f>I74*100/J74</f>
        <v>#REF!</v>
      </c>
      <c r="F80" s="67" t="s">
        <v>190</v>
      </c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</row>
    <row r="81" ht="12.75" customHeight="1">
      <c r="A81" s="124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</row>
    <row r="82" ht="12.75" customHeight="1">
      <c r="A82" s="124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</row>
    <row r="83" ht="12.75" customHeight="1">
      <c r="A83" s="124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</row>
    <row r="84" ht="12.75" customHeight="1">
      <c r="A84" s="124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</row>
    <row r="85" ht="12.75" customHeight="1">
      <c r="A85" s="124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</row>
    <row r="86" ht="12.75" customHeight="1">
      <c r="A86" s="124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</row>
    <row r="87" ht="12.75" customHeight="1">
      <c r="A87" s="124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</row>
    <row r="88" ht="12.75" customHeight="1">
      <c r="A88" s="124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</row>
    <row r="89" ht="12.75" customHeight="1">
      <c r="A89" s="124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</row>
    <row r="90" ht="12.75" customHeight="1">
      <c r="A90" s="124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</row>
    <row r="91" ht="12.75" customHeight="1">
      <c r="A91" s="124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</row>
    <row r="92" ht="12.75" customHeight="1">
      <c r="A92" s="124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</row>
    <row r="93" ht="12.75" customHeight="1">
      <c r="A93" s="124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</row>
    <row r="94" ht="12.75" customHeight="1">
      <c r="A94" s="124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</row>
    <row r="95" ht="12.75" customHeight="1">
      <c r="A95" s="124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</row>
    <row r="96" ht="12.75" customHeight="1">
      <c r="A96" s="124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</row>
    <row r="97" ht="12.75" customHeight="1">
      <c r="A97" s="124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</row>
    <row r="98" ht="12.75" customHeight="1">
      <c r="A98" s="124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</row>
    <row r="99" ht="12.75" customHeight="1">
      <c r="A99" s="124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</row>
    <row r="100" ht="12.75" customHeight="1">
      <c r="A100" s="124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</row>
    <row r="101" ht="12.75" customHeight="1">
      <c r="A101" s="124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</row>
    <row r="102" ht="12.75" customHeight="1">
      <c r="A102" s="124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</row>
    <row r="103" ht="12.75" customHeight="1">
      <c r="A103" s="124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</row>
    <row r="104" ht="12.75" customHeight="1">
      <c r="A104" s="124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</row>
    <row r="105" ht="12.75" customHeight="1">
      <c r="A105" s="124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</row>
    <row r="106" ht="12.75" customHeight="1">
      <c r="A106" s="124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</row>
    <row r="107" ht="12.75" customHeight="1">
      <c r="A107" s="124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</row>
    <row r="108" ht="12.75" customHeight="1">
      <c r="A108" s="124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</row>
    <row r="109" ht="12.75" customHeight="1">
      <c r="A109" s="124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</row>
    <row r="110" ht="12.75" customHeight="1">
      <c r="A110" s="124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</row>
    <row r="111" ht="12.75" customHeight="1">
      <c r="A111" s="124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</row>
    <row r="112" ht="12.75" customHeight="1">
      <c r="A112" s="124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</row>
    <row r="113" ht="12.75" customHeight="1">
      <c r="A113" s="124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</row>
    <row r="114" ht="12.75" customHeight="1">
      <c r="A114" s="124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</row>
    <row r="115" ht="12.75" customHeight="1">
      <c r="A115" s="124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</row>
    <row r="116" ht="12.75" customHeight="1">
      <c r="A116" s="124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</row>
    <row r="117" ht="12.75" customHeight="1">
      <c r="A117" s="124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</row>
    <row r="118" ht="12.75" customHeight="1">
      <c r="A118" s="124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</row>
    <row r="119" ht="12.75" customHeight="1">
      <c r="A119" s="124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</row>
    <row r="120" ht="12.75" customHeight="1">
      <c r="A120" s="124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</row>
    <row r="121" ht="12.75" customHeight="1">
      <c r="A121" s="124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</row>
    <row r="122" ht="12.75" customHeight="1">
      <c r="A122" s="124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</row>
    <row r="123" ht="12.75" customHeight="1">
      <c r="A123" s="124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</row>
    <row r="124" ht="12.75" customHeight="1">
      <c r="A124" s="124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</row>
    <row r="125" ht="12.75" customHeight="1">
      <c r="A125" s="124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</row>
    <row r="126" ht="12.75" customHeight="1">
      <c r="A126" s="124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</row>
    <row r="127" ht="12.75" customHeight="1">
      <c r="A127" s="124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</row>
    <row r="128" ht="12.75" customHeight="1">
      <c r="A128" s="124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</row>
    <row r="129" ht="12.75" customHeight="1">
      <c r="A129" s="124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</row>
    <row r="130" ht="12.75" customHeight="1">
      <c r="A130" s="124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</row>
    <row r="131" ht="12.75" customHeight="1">
      <c r="A131" s="124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</row>
    <row r="132" ht="12.75" customHeight="1">
      <c r="A132" s="124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</row>
    <row r="133" ht="12.75" customHeight="1">
      <c r="A133" s="124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</row>
    <row r="134" ht="12.75" customHeight="1">
      <c r="A134" s="124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</row>
    <row r="135" ht="12.75" customHeight="1">
      <c r="A135" s="124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</row>
    <row r="136" ht="12.75" customHeight="1">
      <c r="A136" s="124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</row>
    <row r="137" ht="12.75" customHeight="1">
      <c r="A137" s="124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</row>
    <row r="138" ht="12.75" customHeight="1">
      <c r="A138" s="124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</row>
    <row r="139" ht="12.75" customHeight="1">
      <c r="A139" s="124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</row>
    <row r="140" ht="12.75" customHeight="1">
      <c r="A140" s="124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</row>
    <row r="141" ht="12.75" customHeight="1">
      <c r="A141" s="124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</row>
    <row r="142" ht="12.75" customHeight="1">
      <c r="A142" s="124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</row>
    <row r="143" ht="12.75" customHeight="1">
      <c r="A143" s="124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</row>
    <row r="144" ht="12.75" customHeight="1">
      <c r="A144" s="124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</row>
    <row r="145" ht="12.75" customHeight="1">
      <c r="A145" s="124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</row>
    <row r="146" ht="12.75" customHeight="1">
      <c r="A146" s="124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</row>
    <row r="147" ht="12.75" customHeight="1">
      <c r="A147" s="124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</row>
    <row r="148" ht="12.75" customHeight="1">
      <c r="A148" s="124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</row>
    <row r="149" ht="12.75" customHeight="1">
      <c r="A149" s="124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</row>
    <row r="150" ht="12.75" customHeight="1">
      <c r="A150" s="124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</row>
    <row r="151" ht="12.75" customHeight="1">
      <c r="A151" s="124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</row>
    <row r="152" ht="12.75" customHeight="1">
      <c r="A152" s="124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</row>
    <row r="153" ht="12.75" customHeight="1">
      <c r="A153" s="124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</row>
    <row r="154" ht="12.75" customHeight="1">
      <c r="A154" s="124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</row>
    <row r="155" ht="12.75" customHeight="1">
      <c r="A155" s="124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</row>
    <row r="156" ht="12.75" customHeight="1">
      <c r="A156" s="124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</row>
    <row r="157" ht="12.75" customHeight="1">
      <c r="A157" s="124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</row>
    <row r="158" ht="12.75" customHeight="1">
      <c r="A158" s="124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</row>
    <row r="159" ht="12.75" customHeight="1">
      <c r="A159" s="124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</row>
    <row r="160" ht="12.75" customHeight="1">
      <c r="A160" s="124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</row>
    <row r="161" ht="12.75" customHeight="1">
      <c r="A161" s="124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</row>
    <row r="162" ht="12.75" customHeight="1">
      <c r="A162" s="124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</row>
    <row r="163" ht="12.75" customHeight="1">
      <c r="A163" s="124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</row>
    <row r="164" ht="12.75" customHeight="1">
      <c r="A164" s="124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</row>
    <row r="165" ht="12.75" customHeight="1">
      <c r="A165" s="124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</row>
    <row r="166" ht="12.75" customHeight="1">
      <c r="A166" s="124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</row>
    <row r="167" ht="12.75" customHeight="1">
      <c r="A167" s="124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</row>
    <row r="168" ht="12.75" customHeight="1">
      <c r="A168" s="124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</row>
    <row r="169" ht="12.75" customHeight="1">
      <c r="A169" s="124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</row>
    <row r="170" ht="12.75" customHeight="1">
      <c r="A170" s="124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</row>
    <row r="171" ht="12.75" customHeight="1">
      <c r="A171" s="124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</row>
    <row r="172" ht="12.75" customHeight="1">
      <c r="A172" s="124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</row>
    <row r="173" ht="12.75" customHeight="1">
      <c r="A173" s="124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</row>
    <row r="174" ht="12.75" customHeight="1">
      <c r="A174" s="124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</row>
    <row r="175" ht="12.75" customHeight="1">
      <c r="A175" s="124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</row>
    <row r="176" ht="12.75" customHeight="1">
      <c r="A176" s="124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</row>
    <row r="177" ht="12.75" customHeight="1">
      <c r="A177" s="124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</row>
    <row r="178" ht="12.75" customHeight="1">
      <c r="A178" s="124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</row>
    <row r="179" ht="12.75" customHeight="1">
      <c r="A179" s="124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</row>
    <row r="180" ht="12.75" customHeight="1">
      <c r="A180" s="124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</row>
    <row r="181" ht="12.75" customHeight="1">
      <c r="A181" s="124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</row>
    <row r="182" ht="12.75" customHeight="1">
      <c r="A182" s="124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</row>
    <row r="183" ht="12.75" customHeight="1">
      <c r="A183" s="124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</row>
    <row r="184" ht="12.75" customHeight="1">
      <c r="A184" s="124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</row>
    <row r="185" ht="12.75" customHeight="1">
      <c r="A185" s="124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</row>
    <row r="186" ht="12.75" customHeight="1">
      <c r="A186" s="124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</row>
    <row r="187" ht="12.75" customHeight="1">
      <c r="A187" s="124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</row>
    <row r="188" ht="12.75" customHeight="1">
      <c r="A188" s="124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</row>
    <row r="189" ht="12.75" customHeight="1">
      <c r="A189" s="124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</row>
    <row r="190" ht="12.75" customHeight="1">
      <c r="A190" s="124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</row>
    <row r="191" ht="12.75" customHeight="1">
      <c r="A191" s="124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</row>
    <row r="192" ht="12.75" customHeight="1">
      <c r="A192" s="124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</row>
    <row r="193" ht="12.75" customHeight="1">
      <c r="A193" s="124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</row>
    <row r="194" ht="12.75" customHeight="1">
      <c r="A194" s="124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</row>
    <row r="195" ht="12.75" customHeight="1">
      <c r="A195" s="124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</row>
    <row r="196" ht="12.75" customHeight="1">
      <c r="A196" s="124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</row>
    <row r="197" ht="12.75" customHeight="1">
      <c r="A197" s="124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</row>
    <row r="198" ht="12.75" customHeight="1">
      <c r="A198" s="124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</row>
    <row r="199" ht="12.75" customHeight="1">
      <c r="A199" s="124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</row>
    <row r="200" ht="12.75" customHeight="1">
      <c r="A200" s="124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</row>
    <row r="201" ht="12.75" customHeight="1">
      <c r="A201" s="124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</row>
    <row r="202" ht="12.75" customHeight="1">
      <c r="A202" s="124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</row>
    <row r="203" ht="12.75" customHeight="1">
      <c r="A203" s="124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</row>
    <row r="204" ht="12.75" customHeight="1">
      <c r="A204" s="124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</row>
    <row r="205" ht="12.75" customHeight="1">
      <c r="A205" s="124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</row>
    <row r="206" ht="12.75" customHeight="1">
      <c r="A206" s="124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</row>
    <row r="207" ht="12.75" customHeight="1">
      <c r="A207" s="124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</row>
    <row r="208" ht="12.75" customHeight="1">
      <c r="A208" s="124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</row>
    <row r="209" ht="12.75" customHeight="1">
      <c r="A209" s="124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</row>
    <row r="210" ht="12.75" customHeight="1">
      <c r="A210" s="124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</row>
    <row r="211" ht="12.75" customHeight="1">
      <c r="A211" s="124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</row>
    <row r="212" ht="12.75" customHeight="1">
      <c r="A212" s="124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</row>
    <row r="213" ht="12.75" customHeight="1">
      <c r="A213" s="124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</row>
    <row r="214" ht="12.75" customHeight="1">
      <c r="A214" s="124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</row>
    <row r="215" ht="12.75" customHeight="1">
      <c r="A215" s="124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</row>
    <row r="216" ht="12.75" customHeight="1">
      <c r="A216" s="124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</row>
    <row r="217" ht="12.75" customHeight="1">
      <c r="A217" s="124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</row>
    <row r="218" ht="12.75" customHeight="1">
      <c r="A218" s="124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</row>
    <row r="219" ht="12.75" customHeight="1">
      <c r="A219" s="124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</row>
    <row r="220" ht="12.75" customHeight="1">
      <c r="A220" s="124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</row>
    <row r="221" ht="12.75" customHeight="1">
      <c r="A221" s="124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</row>
    <row r="222" ht="12.75" customHeight="1">
      <c r="A222" s="124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</row>
    <row r="223" ht="12.75" customHeight="1">
      <c r="A223" s="124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</row>
    <row r="224" ht="12.75" customHeight="1">
      <c r="A224" s="124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</row>
    <row r="225" ht="12.75" customHeight="1">
      <c r="A225" s="124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</row>
    <row r="226" ht="12.75" customHeight="1">
      <c r="A226" s="124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</row>
    <row r="227" ht="12.75" customHeight="1">
      <c r="A227" s="124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</row>
    <row r="228" ht="12.75" customHeight="1">
      <c r="A228" s="124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</row>
    <row r="229" ht="12.75" customHeight="1">
      <c r="A229" s="124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</row>
    <row r="230" ht="12.75" customHeight="1">
      <c r="A230" s="124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</row>
    <row r="231" ht="12.75" customHeight="1">
      <c r="A231" s="124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</row>
    <row r="232" ht="12.75" customHeight="1">
      <c r="A232" s="124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</row>
    <row r="233" ht="12.75" customHeight="1">
      <c r="A233" s="124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</row>
    <row r="234" ht="12.75" customHeight="1">
      <c r="A234" s="124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</row>
    <row r="235" ht="12.75" customHeight="1">
      <c r="A235" s="124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</row>
    <row r="236" ht="12.75" customHeight="1">
      <c r="A236" s="124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</row>
    <row r="237" ht="12.75" customHeight="1">
      <c r="A237" s="124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</row>
    <row r="238" ht="12.75" customHeight="1">
      <c r="A238" s="124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</row>
    <row r="239" ht="12.75" customHeight="1">
      <c r="A239" s="124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</row>
    <row r="240" ht="12.75" customHeight="1">
      <c r="A240" s="124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</row>
    <row r="241" ht="12.75" customHeight="1">
      <c r="A241" s="124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</row>
    <row r="242" ht="12.75" customHeight="1">
      <c r="A242" s="124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</row>
    <row r="243" ht="12.75" customHeight="1">
      <c r="A243" s="124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</row>
    <row r="244" ht="12.75" customHeight="1">
      <c r="A244" s="124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</row>
    <row r="245" ht="12.75" customHeight="1">
      <c r="A245" s="124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</row>
    <row r="246" ht="12.75" customHeight="1">
      <c r="A246" s="124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</row>
    <row r="247" ht="12.75" customHeight="1">
      <c r="A247" s="124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</row>
    <row r="248" ht="12.75" customHeight="1">
      <c r="A248" s="124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</row>
    <row r="249" ht="12.75" customHeight="1">
      <c r="A249" s="124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</row>
    <row r="250" ht="12.75" customHeight="1">
      <c r="A250" s="124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</row>
    <row r="251" ht="12.75" customHeight="1">
      <c r="A251" s="124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</row>
    <row r="252" ht="12.75" customHeight="1">
      <c r="A252" s="124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</row>
    <row r="253" ht="12.75" customHeight="1">
      <c r="A253" s="124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</row>
    <row r="254" ht="12.75" customHeight="1">
      <c r="A254" s="124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</row>
    <row r="255" ht="12.75" customHeight="1">
      <c r="A255" s="124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</row>
    <row r="256" ht="12.75" customHeight="1">
      <c r="A256" s="124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</row>
    <row r="257" ht="12.75" customHeight="1">
      <c r="A257" s="124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</row>
    <row r="258" ht="12.75" customHeight="1">
      <c r="A258" s="124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</row>
    <row r="259" ht="12.75" customHeight="1">
      <c r="A259" s="124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</row>
    <row r="260" ht="12.75" customHeight="1">
      <c r="A260" s="124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</row>
    <row r="261" ht="12.75" customHeight="1">
      <c r="A261" s="124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</row>
    <row r="262" ht="12.75" customHeight="1">
      <c r="A262" s="124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</row>
    <row r="263" ht="12.75" customHeight="1">
      <c r="A263" s="124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</row>
    <row r="264" ht="12.75" customHeight="1">
      <c r="A264" s="124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</row>
    <row r="265" ht="12.75" customHeight="1">
      <c r="A265" s="124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</row>
    <row r="266" ht="12.75" customHeight="1">
      <c r="A266" s="124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</row>
    <row r="267" ht="12.75" customHeight="1">
      <c r="A267" s="124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</row>
    <row r="268" ht="12.75" customHeight="1">
      <c r="A268" s="124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</row>
    <row r="269" ht="12.75" customHeight="1">
      <c r="A269" s="124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</row>
    <row r="270" ht="12.75" customHeight="1">
      <c r="A270" s="124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</row>
    <row r="271" ht="12.75" customHeight="1">
      <c r="A271" s="124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</row>
    <row r="272" ht="12.75" customHeight="1">
      <c r="A272" s="124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</row>
    <row r="273" ht="12.75" customHeight="1">
      <c r="A273" s="124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</row>
    <row r="274" ht="12.75" customHeight="1">
      <c r="A274" s="124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</row>
    <row r="275" ht="12.75" customHeight="1">
      <c r="A275" s="124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</row>
    <row r="276" ht="12.75" customHeight="1">
      <c r="A276" s="124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</row>
    <row r="277" ht="12.75" customHeight="1">
      <c r="A277" s="124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</row>
    <row r="278" ht="12.75" customHeight="1">
      <c r="A278" s="124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</row>
    <row r="279" ht="12.75" customHeight="1">
      <c r="A279" s="124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</row>
    <row r="280" ht="12.75" customHeight="1">
      <c r="A280" s="124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6:D6"/>
    <mergeCell ref="E6:F6"/>
    <mergeCell ref="G6:J6"/>
    <mergeCell ref="C7:J7"/>
    <mergeCell ref="B2:J2"/>
    <mergeCell ref="C4:D4"/>
    <mergeCell ref="E4:F4"/>
    <mergeCell ref="G4:J4"/>
    <mergeCell ref="C5:D5"/>
    <mergeCell ref="E5:F5"/>
    <mergeCell ref="G5:J5"/>
  </mergeCells>
  <hyperlinks>
    <hyperlink display="createClass" location="null!A1" ref="C56"/>
    <hyperlink display="createContest" location="null!A1" ref="C57"/>
    <hyperlink display="deleteContest" location="null!A1" ref="C58"/>
    <hyperlink display="updateContest" location="null!A1" ref="C59"/>
    <hyperlink display="getContestbyID" location="null!A1" ref="C60"/>
    <hyperlink display="getActiveContestbyID" location="null!A1" ref="C61"/>
    <hyperlink display="createFeedback" location="null!A1" ref="C62"/>
    <hyperlink display="deleteFeedback" location="null!A1" ref="C63"/>
    <hyperlink display="createStage" location="null!A1" ref="C64"/>
    <hyperlink display="updateStage" location="null!A1" ref="C65"/>
    <hyperlink display="deleteStage" location="null!A1" ref="C66"/>
    <hyperlink display="changeStageStatus" location="null!A1" ref="C67"/>
    <hyperlink display="getThreadbyID" location="null!A1" ref="C68"/>
    <hyperlink display="addThread" location="null!A1" ref="C69"/>
    <hyperlink display="updateThread" location="null!A1" ref="C70"/>
    <hyperlink display="deleteThread" location="null!A1" ref="C71"/>
    <hyperlink display="createForumClass" location="null!A1" ref="C72"/>
    <hyperlink display="createForumProject" location="null!A1" ref="C73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8.63"/>
    <col customWidth="1" min="4" max="4" width="15.25"/>
    <col customWidth="1" min="5" max="20" width="4.88"/>
  </cols>
  <sheetData>
    <row r="1">
      <c r="A1" s="159" t="s">
        <v>195</v>
      </c>
      <c r="B1" s="160"/>
      <c r="C1" s="161" t="s">
        <v>196</v>
      </c>
      <c r="D1" s="162"/>
      <c r="E1" s="163" t="s">
        <v>197</v>
      </c>
      <c r="F1" s="160"/>
      <c r="G1" s="160"/>
      <c r="H1" s="160"/>
      <c r="I1" s="160"/>
      <c r="J1" s="160"/>
      <c r="K1" s="160"/>
      <c r="L1" s="160"/>
      <c r="M1" s="160"/>
      <c r="N1" s="164" t="s">
        <v>198</v>
      </c>
      <c r="O1" s="160"/>
      <c r="P1" s="160"/>
      <c r="Q1" s="160"/>
      <c r="R1" s="165"/>
      <c r="S1" s="166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</row>
    <row r="2">
      <c r="A2" s="168" t="s">
        <v>199</v>
      </c>
      <c r="B2" s="169"/>
      <c r="C2" s="170" t="s">
        <v>159</v>
      </c>
      <c r="D2" s="169"/>
      <c r="E2" s="171" t="s">
        <v>200</v>
      </c>
      <c r="F2" s="172"/>
      <c r="G2" s="172"/>
      <c r="H2" s="172"/>
      <c r="I2" s="172"/>
      <c r="J2" s="172"/>
      <c r="K2" s="172"/>
      <c r="L2" s="172"/>
      <c r="M2" s="173"/>
      <c r="N2" s="174" t="s">
        <v>159</v>
      </c>
      <c r="O2" s="172"/>
      <c r="P2" s="172"/>
      <c r="Q2" s="172"/>
      <c r="R2" s="175"/>
      <c r="S2" s="176"/>
      <c r="T2" s="177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</row>
    <row r="3">
      <c r="A3" s="179" t="s">
        <v>201</v>
      </c>
      <c r="B3" s="17"/>
      <c r="C3" s="180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81"/>
      <c r="S3" s="182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</row>
    <row r="4">
      <c r="A4" s="183" t="s">
        <v>164</v>
      </c>
      <c r="B4" s="17"/>
      <c r="C4" s="184" t="s">
        <v>165</v>
      </c>
      <c r="D4" s="17"/>
      <c r="E4" s="184" t="s">
        <v>166</v>
      </c>
      <c r="F4" s="16"/>
      <c r="G4" s="16"/>
      <c r="H4" s="16"/>
      <c r="I4" s="16"/>
      <c r="J4" s="185" t="s">
        <v>202</v>
      </c>
      <c r="K4" s="16"/>
      <c r="L4" s="16"/>
      <c r="M4" s="184" t="s">
        <v>169</v>
      </c>
      <c r="N4" s="16"/>
      <c r="O4" s="16"/>
      <c r="P4" s="16"/>
      <c r="Q4" s="16"/>
      <c r="R4" s="181"/>
      <c r="S4" s="186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</row>
    <row r="5">
      <c r="A5" s="188">
        <f>COUNTIF(E37:ID37,"P")</f>
        <v>7</v>
      </c>
      <c r="B5" s="189"/>
      <c r="C5" s="190">
        <f>COUNTIF(E37:ID37,"F")</f>
        <v>0</v>
      </c>
      <c r="D5" s="189"/>
      <c r="E5" s="191">
        <f>SUM(M5,-A5,-C5)</f>
        <v>9</v>
      </c>
      <c r="F5" s="192"/>
      <c r="G5" s="192"/>
      <c r="H5" s="192"/>
      <c r="I5" s="192"/>
      <c r="J5" s="193">
        <f>COUNTIF(A36:HZ36,"N")</f>
        <v>3</v>
      </c>
      <c r="K5" s="193">
        <f>COUNTIF(A36:HZ36,"A")</f>
        <v>3</v>
      </c>
      <c r="L5" s="191">
        <f>COUNTIF(A36:HZ36,"B")</f>
        <v>1</v>
      </c>
      <c r="M5" s="190">
        <f>COUNTA(A7:HR7)</f>
        <v>16</v>
      </c>
      <c r="N5" s="192"/>
      <c r="O5" s="192"/>
      <c r="P5" s="192"/>
      <c r="Q5" s="192"/>
      <c r="R5" s="194"/>
      <c r="S5" s="195"/>
      <c r="T5" s="196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</row>
    <row r="6">
      <c r="A6" s="198"/>
      <c r="B6" s="198"/>
      <c r="C6" s="198"/>
      <c r="D6" s="198"/>
      <c r="E6" s="198"/>
      <c r="F6" s="198"/>
      <c r="G6" s="198"/>
      <c r="H6" s="199"/>
      <c r="I6" s="199"/>
      <c r="J6" s="199"/>
      <c r="K6" s="199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</row>
    <row r="7" ht="48.0" customHeight="1">
      <c r="A7" s="200"/>
      <c r="B7" s="201"/>
      <c r="C7" s="201"/>
      <c r="D7" s="201"/>
      <c r="E7" s="202" t="s">
        <v>203</v>
      </c>
      <c r="F7" s="202" t="s">
        <v>204</v>
      </c>
      <c r="G7" s="202" t="s">
        <v>205</v>
      </c>
      <c r="H7" s="202" t="s">
        <v>206</v>
      </c>
      <c r="I7" s="202" t="s">
        <v>207</v>
      </c>
      <c r="J7" s="202" t="s">
        <v>208</v>
      </c>
      <c r="K7" s="202" t="s">
        <v>209</v>
      </c>
      <c r="L7" s="202" t="s">
        <v>210</v>
      </c>
      <c r="M7" s="202" t="s">
        <v>211</v>
      </c>
      <c r="N7" s="202" t="s">
        <v>212</v>
      </c>
      <c r="O7" s="202" t="s">
        <v>213</v>
      </c>
      <c r="P7" s="202" t="s">
        <v>214</v>
      </c>
      <c r="Q7" s="202" t="s">
        <v>215</v>
      </c>
      <c r="R7" s="202" t="s">
        <v>216</v>
      </c>
      <c r="S7" s="202" t="s">
        <v>217</v>
      </c>
      <c r="T7" s="202" t="s">
        <v>218</v>
      </c>
      <c r="U7" s="198"/>
      <c r="V7" s="198"/>
      <c r="W7" s="198"/>
      <c r="X7" s="203"/>
      <c r="Y7" s="203"/>
      <c r="Z7" s="203"/>
      <c r="AA7" s="203"/>
      <c r="AB7" s="203"/>
      <c r="AC7" s="203"/>
      <c r="AD7" s="203"/>
      <c r="AE7" s="203"/>
      <c r="AF7" s="203"/>
      <c r="AG7" s="203"/>
    </row>
    <row r="8">
      <c r="A8" s="204" t="s">
        <v>219</v>
      </c>
      <c r="B8" s="205" t="s">
        <v>220</v>
      </c>
      <c r="C8" s="206"/>
      <c r="D8" s="207"/>
      <c r="E8" s="208"/>
      <c r="F8" s="208"/>
      <c r="G8" s="208"/>
      <c r="H8" s="209"/>
      <c r="I8" s="209"/>
      <c r="J8" s="209"/>
      <c r="K8" s="209"/>
      <c r="L8" s="208"/>
      <c r="M8" s="208"/>
      <c r="N8" s="208"/>
      <c r="O8" s="208"/>
      <c r="P8" s="208"/>
      <c r="Q8" s="208"/>
      <c r="R8" s="208"/>
      <c r="S8" s="208"/>
      <c r="T8" s="208"/>
      <c r="U8" s="198"/>
      <c r="V8" s="198"/>
      <c r="W8" s="198"/>
      <c r="X8" s="203"/>
      <c r="Y8" s="203"/>
      <c r="Z8" s="203"/>
      <c r="AA8" s="203"/>
      <c r="AB8" s="203"/>
      <c r="AC8" s="203"/>
      <c r="AD8" s="203"/>
      <c r="AE8" s="203"/>
      <c r="AF8" s="203"/>
      <c r="AG8" s="203"/>
    </row>
    <row r="9">
      <c r="A9" s="210"/>
      <c r="B9" s="211"/>
      <c r="C9" s="212"/>
      <c r="D9" s="213" t="s">
        <v>221</v>
      </c>
      <c r="E9" s="214" t="s">
        <v>222</v>
      </c>
      <c r="F9" s="214" t="s">
        <v>222</v>
      </c>
      <c r="G9" s="214" t="s">
        <v>222</v>
      </c>
      <c r="H9" s="214" t="s">
        <v>222</v>
      </c>
      <c r="I9" s="214" t="s">
        <v>222</v>
      </c>
      <c r="J9" s="214" t="s">
        <v>222</v>
      </c>
      <c r="K9" s="214" t="s">
        <v>222</v>
      </c>
      <c r="L9" s="214"/>
      <c r="M9" s="214"/>
      <c r="N9" s="214"/>
      <c r="O9" s="214"/>
      <c r="P9" s="214"/>
      <c r="Q9" s="214"/>
      <c r="R9" s="214"/>
      <c r="S9" s="214"/>
      <c r="T9" s="214"/>
      <c r="U9" s="198"/>
      <c r="V9" s="198"/>
      <c r="W9" s="198"/>
      <c r="X9" s="203"/>
      <c r="Y9" s="203"/>
      <c r="Z9" s="203"/>
      <c r="AA9" s="203"/>
      <c r="AB9" s="203"/>
      <c r="AC9" s="203"/>
      <c r="AD9" s="203"/>
      <c r="AE9" s="203"/>
      <c r="AF9" s="203"/>
      <c r="AG9" s="203"/>
    </row>
    <row r="10">
      <c r="A10" s="210"/>
      <c r="B10" s="215" t="s">
        <v>223</v>
      </c>
      <c r="C10" s="212"/>
      <c r="D10" s="216"/>
      <c r="E10" s="208"/>
      <c r="F10" s="208"/>
      <c r="G10" s="208"/>
      <c r="H10" s="209"/>
      <c r="I10" s="209"/>
      <c r="J10" s="209"/>
      <c r="K10" s="209"/>
      <c r="L10" s="208"/>
      <c r="M10" s="208"/>
      <c r="N10" s="208"/>
      <c r="O10" s="208"/>
      <c r="P10" s="208"/>
      <c r="Q10" s="208"/>
      <c r="R10" s="208"/>
      <c r="S10" s="208"/>
      <c r="T10" s="208"/>
      <c r="U10" s="198"/>
      <c r="V10" s="198"/>
      <c r="W10" s="198"/>
      <c r="X10" s="203"/>
      <c r="Y10" s="203"/>
      <c r="Z10" s="203"/>
      <c r="AA10" s="203"/>
      <c r="AB10" s="203"/>
      <c r="AC10" s="203"/>
      <c r="AD10" s="203"/>
      <c r="AE10" s="203"/>
      <c r="AF10" s="203"/>
      <c r="AG10" s="203"/>
    </row>
    <row r="11">
      <c r="A11" s="210"/>
      <c r="B11" s="211"/>
      <c r="C11" s="217" t="s">
        <v>224</v>
      </c>
      <c r="D11" s="218" t="s">
        <v>225</v>
      </c>
      <c r="E11" s="214" t="s">
        <v>222</v>
      </c>
      <c r="F11" s="214"/>
      <c r="G11" s="208"/>
      <c r="H11" s="209"/>
      <c r="I11" s="214" t="s">
        <v>222</v>
      </c>
      <c r="J11" s="214" t="s">
        <v>222</v>
      </c>
      <c r="K11" s="214" t="s">
        <v>222</v>
      </c>
      <c r="L11" s="208"/>
      <c r="M11" s="214" t="s">
        <v>222</v>
      </c>
      <c r="N11" s="219"/>
      <c r="O11" s="209"/>
      <c r="P11" s="209"/>
      <c r="Q11" s="214"/>
      <c r="R11" s="214"/>
      <c r="S11" s="214"/>
      <c r="T11" s="214"/>
      <c r="U11" s="198"/>
      <c r="V11" s="198"/>
      <c r="W11" s="198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</row>
    <row r="12">
      <c r="A12" s="210"/>
      <c r="B12" s="211"/>
      <c r="C12" s="217" t="s">
        <v>226</v>
      </c>
      <c r="D12" s="213"/>
      <c r="E12" s="208"/>
      <c r="F12" s="209" t="s">
        <v>222</v>
      </c>
      <c r="G12" s="214"/>
      <c r="H12" s="214"/>
      <c r="I12" s="214"/>
      <c r="J12" s="214"/>
      <c r="K12" s="214"/>
      <c r="L12" s="208"/>
      <c r="M12" s="208"/>
      <c r="N12" s="208"/>
      <c r="O12" s="208"/>
      <c r="P12" s="208"/>
      <c r="Q12" s="208"/>
      <c r="R12" s="208"/>
      <c r="S12" s="208"/>
      <c r="T12" s="208"/>
      <c r="U12" s="198"/>
      <c r="V12" s="198"/>
      <c r="W12" s="198"/>
      <c r="X12" s="203"/>
      <c r="Y12" s="203"/>
      <c r="Z12" s="203"/>
      <c r="AA12" s="203"/>
      <c r="AB12" s="203"/>
      <c r="AC12" s="203"/>
      <c r="AD12" s="203"/>
      <c r="AE12" s="203"/>
      <c r="AF12" s="203"/>
      <c r="AG12" s="203"/>
    </row>
    <row r="13">
      <c r="A13" s="210"/>
      <c r="B13" s="211"/>
      <c r="C13" s="217" t="s">
        <v>227</v>
      </c>
      <c r="D13" s="218" t="s">
        <v>228</v>
      </c>
      <c r="E13" s="208"/>
      <c r="F13" s="208"/>
      <c r="G13" s="209" t="s">
        <v>222</v>
      </c>
      <c r="H13" s="214"/>
      <c r="I13" s="214"/>
      <c r="J13" s="214"/>
      <c r="K13" s="214"/>
      <c r="L13" s="208"/>
      <c r="M13" s="208"/>
      <c r="N13" s="208"/>
      <c r="O13" s="208"/>
      <c r="P13" s="208"/>
      <c r="Q13" s="208"/>
      <c r="R13" s="208"/>
      <c r="S13" s="208"/>
      <c r="T13" s="208"/>
      <c r="U13" s="198"/>
      <c r="V13" s="198"/>
      <c r="W13" s="198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</row>
    <row r="14">
      <c r="A14" s="210"/>
      <c r="B14" s="211"/>
      <c r="C14" s="217" t="s">
        <v>229</v>
      </c>
      <c r="D14" s="213" t="s">
        <v>230</v>
      </c>
      <c r="E14" s="208"/>
      <c r="F14" s="208"/>
      <c r="G14" s="208"/>
      <c r="H14" s="209" t="s">
        <v>222</v>
      </c>
      <c r="I14" s="209"/>
      <c r="J14" s="209"/>
      <c r="K14" s="209"/>
      <c r="L14" s="214"/>
      <c r="M14" s="208"/>
      <c r="N14" s="208"/>
      <c r="O14" s="208"/>
      <c r="P14" s="208"/>
      <c r="Q14" s="208"/>
      <c r="R14" s="208"/>
      <c r="S14" s="208"/>
      <c r="T14" s="208"/>
      <c r="U14" s="198"/>
      <c r="V14" s="198"/>
      <c r="W14" s="198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</row>
    <row r="15">
      <c r="A15" s="210"/>
      <c r="B15" s="211"/>
      <c r="C15" s="217" t="s">
        <v>231</v>
      </c>
      <c r="D15" s="218"/>
      <c r="E15" s="208"/>
      <c r="F15" s="208"/>
      <c r="G15" s="209"/>
      <c r="H15" s="214"/>
      <c r="I15" s="214"/>
      <c r="J15" s="214"/>
      <c r="K15" s="214"/>
      <c r="L15" s="214" t="s">
        <v>222</v>
      </c>
      <c r="M15" s="208"/>
      <c r="N15" s="208"/>
      <c r="O15" s="208"/>
      <c r="P15" s="208"/>
      <c r="Q15" s="208"/>
      <c r="R15" s="208"/>
      <c r="S15" s="208"/>
      <c r="T15" s="208"/>
      <c r="U15" s="198"/>
      <c r="V15" s="198"/>
      <c r="W15" s="198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</row>
    <row r="16" ht="15.75" customHeight="1">
      <c r="A16" s="220"/>
      <c r="B16" s="221" t="s">
        <v>232</v>
      </c>
      <c r="C16" s="212"/>
      <c r="D16" s="216"/>
      <c r="E16" s="222"/>
      <c r="F16" s="222"/>
      <c r="G16" s="222"/>
      <c r="H16" s="223"/>
      <c r="I16" s="223"/>
      <c r="J16" s="223"/>
      <c r="K16" s="223"/>
      <c r="L16" s="222"/>
      <c r="M16" s="222"/>
      <c r="N16" s="222"/>
      <c r="O16" s="222"/>
      <c r="P16" s="222"/>
      <c r="Q16" s="222"/>
      <c r="R16" s="222"/>
      <c r="S16" s="222"/>
      <c r="T16" s="208"/>
      <c r="U16" s="198"/>
      <c r="V16" s="198"/>
      <c r="W16" s="198"/>
      <c r="X16" s="203"/>
      <c r="Y16" s="203"/>
      <c r="Z16" s="203"/>
      <c r="AA16" s="203"/>
      <c r="AB16" s="203"/>
      <c r="AC16" s="203"/>
      <c r="AD16" s="203"/>
      <c r="AE16" s="203"/>
      <c r="AF16" s="203"/>
      <c r="AG16" s="203"/>
    </row>
    <row r="17" ht="15.75" customHeight="1">
      <c r="A17" s="210"/>
      <c r="B17" s="211"/>
      <c r="C17" s="217" t="s">
        <v>233</v>
      </c>
      <c r="D17" s="218" t="s">
        <v>234</v>
      </c>
      <c r="E17" s="214" t="s">
        <v>222</v>
      </c>
      <c r="F17" s="214" t="s">
        <v>222</v>
      </c>
      <c r="G17" s="214" t="s">
        <v>222</v>
      </c>
      <c r="H17" s="214" t="s">
        <v>222</v>
      </c>
      <c r="I17" s="224"/>
      <c r="J17" s="224"/>
      <c r="K17" s="224"/>
      <c r="L17" s="214" t="s">
        <v>222</v>
      </c>
      <c r="M17" s="224"/>
      <c r="N17" s="224"/>
      <c r="O17" s="224"/>
      <c r="P17" s="214"/>
      <c r="Q17" s="208"/>
      <c r="R17" s="208"/>
      <c r="S17" s="209"/>
      <c r="T17" s="209"/>
      <c r="U17" s="198"/>
      <c r="V17" s="198"/>
      <c r="W17" s="198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</row>
    <row r="18" ht="15.75" customHeight="1">
      <c r="A18" s="220"/>
      <c r="B18" s="225"/>
      <c r="C18" s="217" t="s">
        <v>235</v>
      </c>
      <c r="D18" s="213"/>
      <c r="E18" s="224"/>
      <c r="F18" s="224"/>
      <c r="G18" s="224"/>
      <c r="H18" s="224"/>
      <c r="I18" s="214" t="s">
        <v>222</v>
      </c>
      <c r="J18" s="224"/>
      <c r="K18" s="224"/>
      <c r="L18" s="224"/>
      <c r="M18" s="224"/>
      <c r="N18" s="224"/>
      <c r="O18" s="224"/>
      <c r="P18" s="224"/>
      <c r="Q18" s="222"/>
      <c r="R18" s="222"/>
      <c r="S18" s="223"/>
      <c r="T18" s="209"/>
      <c r="U18" s="198"/>
      <c r="V18" s="198"/>
      <c r="W18" s="198"/>
      <c r="X18" s="203"/>
      <c r="Y18" s="203"/>
      <c r="Z18" s="203"/>
      <c r="AA18" s="203"/>
      <c r="AB18" s="203"/>
      <c r="AC18" s="203"/>
      <c r="AD18" s="203"/>
      <c r="AE18" s="203"/>
      <c r="AF18" s="203"/>
      <c r="AG18" s="203"/>
    </row>
    <row r="19" ht="15.75" customHeight="1">
      <c r="A19" s="220"/>
      <c r="B19" s="225"/>
      <c r="C19" s="217" t="s">
        <v>236</v>
      </c>
      <c r="D19" s="218">
        <v>123.0</v>
      </c>
      <c r="E19" s="222"/>
      <c r="F19" s="222"/>
      <c r="G19" s="222"/>
      <c r="H19" s="223"/>
      <c r="I19" s="223"/>
      <c r="J19" s="214" t="s">
        <v>222</v>
      </c>
      <c r="K19" s="223"/>
      <c r="L19" s="222"/>
      <c r="M19" s="222"/>
      <c r="N19" s="222"/>
      <c r="O19" s="223"/>
      <c r="P19" s="223"/>
      <c r="Q19" s="224"/>
      <c r="R19" s="223"/>
      <c r="S19" s="223"/>
      <c r="T19" s="209"/>
      <c r="U19" s="198"/>
      <c r="V19" s="198"/>
      <c r="W19" s="198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</row>
    <row r="20" ht="15.75" customHeight="1">
      <c r="A20" s="220"/>
      <c r="B20" s="225"/>
      <c r="C20" s="217" t="s">
        <v>237</v>
      </c>
      <c r="D20" s="213">
        <v>123456.0</v>
      </c>
      <c r="E20" s="222"/>
      <c r="F20" s="222"/>
      <c r="G20" s="222"/>
      <c r="H20" s="223"/>
      <c r="I20" s="223"/>
      <c r="J20" s="223"/>
      <c r="K20" s="214" t="s">
        <v>222</v>
      </c>
      <c r="L20" s="222"/>
      <c r="M20" s="222"/>
      <c r="N20" s="222"/>
      <c r="O20" s="223"/>
      <c r="P20" s="223"/>
      <c r="Q20" s="223"/>
      <c r="R20" s="224"/>
      <c r="S20" s="223"/>
      <c r="T20" s="209"/>
      <c r="U20" s="198"/>
      <c r="V20" s="198"/>
      <c r="W20" s="198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</row>
    <row r="21" ht="15.75" customHeight="1">
      <c r="A21" s="220"/>
      <c r="B21" s="225"/>
      <c r="C21" s="217" t="s">
        <v>231</v>
      </c>
      <c r="D21" s="218"/>
      <c r="E21" s="222"/>
      <c r="F21" s="222"/>
      <c r="G21" s="222"/>
      <c r="H21" s="223"/>
      <c r="I21" s="223"/>
      <c r="J21" s="224"/>
      <c r="K21" s="223"/>
      <c r="L21" s="222"/>
      <c r="M21" s="214" t="s">
        <v>222</v>
      </c>
      <c r="N21" s="222"/>
      <c r="O21" s="223"/>
      <c r="P21" s="223"/>
      <c r="Q21" s="224"/>
      <c r="R21" s="223"/>
      <c r="S21" s="223"/>
      <c r="T21" s="209"/>
      <c r="U21" s="198"/>
      <c r="V21" s="198"/>
      <c r="W21" s="198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</row>
    <row r="22" ht="15.75" customHeight="1">
      <c r="A22" s="226" t="s">
        <v>238</v>
      </c>
      <c r="B22" s="227" t="s">
        <v>239</v>
      </c>
      <c r="C22" s="228"/>
      <c r="D22" s="229"/>
      <c r="E22" s="222"/>
      <c r="F22" s="222"/>
      <c r="G22" s="222"/>
      <c r="H22" s="223"/>
      <c r="I22" s="223"/>
      <c r="J22" s="223"/>
      <c r="K22" s="223"/>
      <c r="L22" s="222"/>
      <c r="M22" s="222"/>
      <c r="N22" s="222"/>
      <c r="O22" s="222"/>
      <c r="P22" s="222"/>
      <c r="Q22" s="222"/>
      <c r="R22" s="222"/>
      <c r="S22" s="222"/>
      <c r="T22" s="208"/>
      <c r="U22" s="198"/>
      <c r="V22" s="198"/>
      <c r="W22" s="198"/>
      <c r="X22" s="203"/>
      <c r="Y22" s="203"/>
      <c r="Z22" s="203"/>
      <c r="AA22" s="203"/>
      <c r="AB22" s="203"/>
      <c r="AC22" s="203"/>
      <c r="AD22" s="203"/>
      <c r="AE22" s="203"/>
      <c r="AF22" s="203"/>
      <c r="AG22" s="203"/>
    </row>
    <row r="23" ht="21.75" customHeight="1">
      <c r="A23" s="230"/>
      <c r="B23" s="231"/>
      <c r="C23" s="228"/>
      <c r="D23" s="232" t="b">
        <v>1</v>
      </c>
      <c r="E23" s="214" t="s">
        <v>222</v>
      </c>
      <c r="F23" s="233"/>
      <c r="G23" s="208"/>
      <c r="H23" s="209"/>
      <c r="I23" s="209"/>
      <c r="J23" s="209"/>
      <c r="K23" s="209"/>
      <c r="L23" s="208"/>
      <c r="M23" s="208"/>
      <c r="N23" s="208"/>
      <c r="O23" s="208"/>
      <c r="P23" s="208"/>
      <c r="Q23" s="208"/>
      <c r="R23" s="208"/>
      <c r="S23" s="208"/>
      <c r="T23" s="208"/>
      <c r="U23" s="198"/>
      <c r="V23" s="198"/>
      <c r="W23" s="198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</row>
    <row r="24" ht="21.75" customHeight="1">
      <c r="A24" s="230"/>
      <c r="B24" s="234"/>
      <c r="C24" s="235"/>
      <c r="D24" s="232" t="b">
        <v>0</v>
      </c>
      <c r="E24" s="208"/>
      <c r="F24" s="214" t="s">
        <v>222</v>
      </c>
      <c r="G24" s="214" t="s">
        <v>222</v>
      </c>
      <c r="H24" s="214" t="s">
        <v>222</v>
      </c>
      <c r="I24" s="214" t="s">
        <v>222</v>
      </c>
      <c r="J24" s="214" t="s">
        <v>222</v>
      </c>
      <c r="K24" s="209" t="s">
        <v>222</v>
      </c>
      <c r="L24" s="214" t="s">
        <v>222</v>
      </c>
      <c r="M24" s="214" t="s">
        <v>222</v>
      </c>
      <c r="N24" s="214"/>
      <c r="O24" s="214"/>
      <c r="P24" s="214"/>
      <c r="Q24" s="214"/>
      <c r="R24" s="214"/>
      <c r="S24" s="214"/>
      <c r="T24" s="214"/>
      <c r="U24" s="198"/>
      <c r="V24" s="198"/>
      <c r="W24" s="198"/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</row>
    <row r="25" ht="21.75" customHeight="1">
      <c r="A25" s="230"/>
      <c r="B25" s="236" t="s">
        <v>240</v>
      </c>
      <c r="C25" s="16"/>
      <c r="D25" s="17"/>
      <c r="E25" s="223"/>
      <c r="F25" s="223"/>
      <c r="G25" s="223"/>
      <c r="H25" s="223"/>
      <c r="I25" s="223"/>
      <c r="J25" s="223"/>
      <c r="K25" s="223"/>
      <c r="L25" s="224"/>
      <c r="M25" s="223"/>
      <c r="N25" s="224"/>
      <c r="O25" s="224"/>
      <c r="P25" s="224"/>
      <c r="Q25" s="223"/>
      <c r="R25" s="224"/>
      <c r="S25" s="224"/>
      <c r="T25" s="214"/>
      <c r="U25" s="198"/>
      <c r="V25" s="198"/>
      <c r="W25" s="198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</row>
    <row r="26" ht="18.0" customHeight="1">
      <c r="A26" s="230"/>
      <c r="B26" s="237"/>
      <c r="C26" s="172"/>
      <c r="D26" s="173"/>
      <c r="E26" s="223"/>
      <c r="F26" s="223"/>
      <c r="G26" s="223"/>
      <c r="H26" s="223"/>
      <c r="I26" s="223"/>
      <c r="J26" s="223"/>
      <c r="K26" s="223"/>
      <c r="L26" s="224"/>
      <c r="M26" s="223"/>
      <c r="N26" s="224"/>
      <c r="O26" s="224"/>
      <c r="P26" s="224"/>
      <c r="Q26" s="223"/>
      <c r="R26" s="224"/>
      <c r="S26" s="224"/>
      <c r="T26" s="214"/>
      <c r="U26" s="198"/>
      <c r="V26" s="198"/>
      <c r="W26" s="198"/>
      <c r="X26" s="203"/>
      <c r="Y26" s="203"/>
      <c r="Z26" s="203"/>
      <c r="AA26" s="203"/>
      <c r="AB26" s="203"/>
      <c r="AC26" s="203"/>
      <c r="AD26" s="203"/>
      <c r="AE26" s="203"/>
      <c r="AF26" s="203"/>
      <c r="AG26" s="203"/>
    </row>
    <row r="27" ht="18.0" customHeight="1">
      <c r="A27" s="230"/>
      <c r="B27" s="238"/>
      <c r="C27" s="16"/>
      <c r="D27" s="17"/>
      <c r="E27" s="223"/>
      <c r="F27" s="223"/>
      <c r="G27" s="223"/>
      <c r="H27" s="223"/>
      <c r="I27" s="223"/>
      <c r="J27" s="223"/>
      <c r="K27" s="223"/>
      <c r="L27" s="224"/>
      <c r="M27" s="223"/>
      <c r="N27" s="224"/>
      <c r="O27" s="224"/>
      <c r="P27" s="224"/>
      <c r="Q27" s="223"/>
      <c r="R27" s="224"/>
      <c r="S27" s="224"/>
      <c r="T27" s="214"/>
      <c r="U27" s="198"/>
      <c r="V27" s="198"/>
      <c r="W27" s="198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</row>
    <row r="28" ht="21.75" customHeight="1">
      <c r="A28" s="230"/>
      <c r="B28" s="227" t="s">
        <v>241</v>
      </c>
      <c r="C28" s="228"/>
      <c r="D28" s="229"/>
      <c r="E28" s="223"/>
      <c r="F28" s="223"/>
      <c r="G28" s="223"/>
      <c r="H28" s="223"/>
      <c r="I28" s="223"/>
      <c r="J28" s="223"/>
      <c r="K28" s="223"/>
      <c r="L28" s="224"/>
      <c r="M28" s="223"/>
      <c r="N28" s="224"/>
      <c r="O28" s="224"/>
      <c r="P28" s="224"/>
      <c r="Q28" s="223"/>
      <c r="R28" s="224"/>
      <c r="S28" s="224"/>
      <c r="T28" s="214"/>
      <c r="U28" s="198"/>
      <c r="V28" s="198"/>
      <c r="W28" s="198"/>
      <c r="X28" s="203"/>
      <c r="Y28" s="203"/>
      <c r="Z28" s="203"/>
      <c r="AA28" s="203"/>
      <c r="AB28" s="203"/>
      <c r="AC28" s="203"/>
      <c r="AD28" s="203"/>
      <c r="AE28" s="203"/>
      <c r="AF28" s="203"/>
      <c r="AG28" s="203"/>
    </row>
    <row r="29" ht="21.75" customHeight="1">
      <c r="A29" s="230"/>
      <c r="B29" s="180"/>
      <c r="C29" s="239"/>
      <c r="D29" s="240" t="s">
        <v>242</v>
      </c>
      <c r="E29" s="223" t="s">
        <v>222</v>
      </c>
      <c r="F29" s="223"/>
      <c r="G29" s="223"/>
      <c r="H29" s="223"/>
      <c r="I29" s="223"/>
      <c r="J29" s="223"/>
      <c r="K29" s="223"/>
      <c r="L29" s="224"/>
      <c r="M29" s="223"/>
      <c r="N29" s="224"/>
      <c r="O29" s="224"/>
      <c r="P29" s="224"/>
      <c r="Q29" s="223"/>
      <c r="R29" s="224"/>
      <c r="S29" s="224"/>
      <c r="T29" s="214"/>
      <c r="U29" s="198"/>
      <c r="V29" s="198"/>
      <c r="W29" s="198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</row>
    <row r="30" ht="15.75" customHeight="1">
      <c r="A30" s="241"/>
      <c r="B30" s="180"/>
      <c r="C30" s="239"/>
      <c r="D30" s="242" t="s">
        <v>243</v>
      </c>
      <c r="E30" s="208"/>
      <c r="F30" s="214" t="s">
        <v>222</v>
      </c>
      <c r="G30" s="208"/>
      <c r="H30" s="209"/>
      <c r="I30" s="209"/>
      <c r="J30" s="209"/>
      <c r="K30" s="209"/>
      <c r="L30" s="214" t="s">
        <v>222</v>
      </c>
      <c r="M30" s="214"/>
      <c r="N30" s="208"/>
      <c r="O30" s="209"/>
      <c r="P30" s="209"/>
      <c r="Q30" s="209"/>
      <c r="R30" s="208"/>
      <c r="S30" s="208"/>
      <c r="T30" s="208"/>
      <c r="U30" s="198"/>
      <c r="V30" s="198"/>
      <c r="W30" s="198"/>
      <c r="X30" s="203"/>
      <c r="Y30" s="203"/>
      <c r="Z30" s="203"/>
      <c r="AA30" s="203"/>
      <c r="AB30" s="203"/>
      <c r="AC30" s="203"/>
      <c r="AD30" s="203"/>
      <c r="AE30" s="203"/>
      <c r="AF30" s="203"/>
      <c r="AG30" s="203"/>
    </row>
    <row r="31" ht="21.75" customHeight="1">
      <c r="A31" s="241"/>
      <c r="B31" s="180"/>
      <c r="C31" s="239"/>
      <c r="D31" s="243" t="s">
        <v>244</v>
      </c>
      <c r="E31" s="208"/>
      <c r="F31" s="208"/>
      <c r="G31" s="209"/>
      <c r="H31" s="209"/>
      <c r="I31" s="209" t="s">
        <v>222</v>
      </c>
      <c r="J31" s="209"/>
      <c r="K31" s="209"/>
      <c r="L31" s="214"/>
      <c r="M31" s="214" t="s">
        <v>222</v>
      </c>
      <c r="N31" s="214"/>
      <c r="O31" s="214"/>
      <c r="P31" s="214"/>
      <c r="Q31" s="209"/>
      <c r="R31" s="214"/>
      <c r="S31" s="214"/>
      <c r="T31" s="214"/>
      <c r="U31" s="198"/>
      <c r="V31" s="198"/>
      <c r="W31" s="198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</row>
    <row r="32" ht="15.75" customHeight="1">
      <c r="A32" s="241"/>
      <c r="B32" s="180"/>
      <c r="C32" s="239"/>
      <c r="D32" s="243" t="s">
        <v>245</v>
      </c>
      <c r="E32" s="208"/>
      <c r="F32" s="208"/>
      <c r="G32" s="208"/>
      <c r="H32" s="209" t="s">
        <v>222</v>
      </c>
      <c r="I32" s="209"/>
      <c r="J32" s="209"/>
      <c r="K32" s="209"/>
      <c r="L32" s="208"/>
      <c r="M32" s="208"/>
      <c r="N32" s="208"/>
      <c r="O32" s="209"/>
      <c r="P32" s="209"/>
      <c r="Q32" s="209"/>
      <c r="R32" s="208"/>
      <c r="S32" s="208"/>
      <c r="T32" s="208"/>
      <c r="U32" s="198"/>
      <c r="V32" s="198"/>
      <c r="W32" s="198"/>
      <c r="X32" s="203"/>
      <c r="Y32" s="203"/>
      <c r="Z32" s="203"/>
      <c r="AA32" s="203"/>
      <c r="AB32" s="203"/>
      <c r="AC32" s="203"/>
      <c r="AD32" s="203"/>
      <c r="AE32" s="203"/>
      <c r="AF32" s="203"/>
      <c r="AG32" s="203"/>
    </row>
    <row r="33" ht="15.75" customHeight="1">
      <c r="A33" s="241"/>
      <c r="B33" s="180"/>
      <c r="C33" s="239"/>
      <c r="D33" s="242" t="s">
        <v>246</v>
      </c>
      <c r="E33" s="208"/>
      <c r="F33" s="208"/>
      <c r="G33" s="209" t="s">
        <v>222</v>
      </c>
      <c r="H33" s="214"/>
      <c r="I33" s="214"/>
      <c r="J33" s="209"/>
      <c r="K33" s="214"/>
      <c r="L33" s="208"/>
      <c r="M33" s="208"/>
      <c r="N33" s="208"/>
      <c r="O33" s="209"/>
      <c r="P33" s="209"/>
      <c r="Q33" s="209"/>
      <c r="R33" s="208"/>
      <c r="S33" s="208"/>
      <c r="T33" s="208"/>
      <c r="U33" s="198"/>
      <c r="V33" s="198"/>
      <c r="W33" s="198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</row>
    <row r="34" ht="15.75" customHeight="1">
      <c r="A34" s="241"/>
      <c r="B34" s="180"/>
      <c r="C34" s="239"/>
      <c r="D34" s="242" t="s">
        <v>247</v>
      </c>
      <c r="E34" s="208"/>
      <c r="F34" s="208"/>
      <c r="G34" s="214"/>
      <c r="H34" s="214"/>
      <c r="I34" s="214"/>
      <c r="J34" s="214"/>
      <c r="K34" s="214" t="s">
        <v>222</v>
      </c>
      <c r="L34" s="208"/>
      <c r="M34" s="208"/>
      <c r="N34" s="208"/>
      <c r="O34" s="209"/>
      <c r="P34" s="209"/>
      <c r="Q34" s="209"/>
      <c r="R34" s="208"/>
      <c r="S34" s="208"/>
      <c r="T34" s="208"/>
      <c r="U34" s="198"/>
      <c r="V34" s="198"/>
      <c r="W34" s="198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</row>
    <row r="35" ht="15.75" customHeight="1">
      <c r="A35" s="241"/>
      <c r="B35" s="180"/>
      <c r="C35" s="244"/>
      <c r="D35" s="242" t="s">
        <v>248</v>
      </c>
      <c r="E35" s="208"/>
      <c r="F35" s="208"/>
      <c r="G35" s="208"/>
      <c r="H35" s="209"/>
      <c r="I35" s="209"/>
      <c r="J35" s="214" t="s">
        <v>222</v>
      </c>
      <c r="K35" s="209"/>
      <c r="L35" s="208"/>
      <c r="M35" s="208"/>
      <c r="N35" s="208"/>
      <c r="O35" s="209"/>
      <c r="P35" s="209"/>
      <c r="Q35" s="214"/>
      <c r="R35" s="208"/>
      <c r="S35" s="208"/>
      <c r="T35" s="208"/>
      <c r="U35" s="198"/>
      <c r="V35" s="198"/>
      <c r="W35" s="198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</row>
    <row r="36" ht="15.75" customHeight="1">
      <c r="A36" s="226" t="s">
        <v>249</v>
      </c>
      <c r="B36" s="245" t="s">
        <v>250</v>
      </c>
      <c r="C36" s="246"/>
      <c r="D36" s="247"/>
      <c r="E36" s="248" t="s">
        <v>167</v>
      </c>
      <c r="F36" s="248" t="s">
        <v>167</v>
      </c>
      <c r="G36" s="248" t="s">
        <v>62</v>
      </c>
      <c r="H36" s="248" t="s">
        <v>62</v>
      </c>
      <c r="I36" s="248" t="s">
        <v>62</v>
      </c>
      <c r="J36" s="248" t="s">
        <v>168</v>
      </c>
      <c r="K36" s="248" t="s">
        <v>167</v>
      </c>
      <c r="L36" s="248"/>
      <c r="M36" s="248"/>
      <c r="N36" s="248"/>
      <c r="O36" s="248"/>
      <c r="P36" s="248"/>
      <c r="Q36" s="248"/>
      <c r="R36" s="248"/>
      <c r="S36" s="248"/>
      <c r="T36" s="248"/>
      <c r="U36" s="198"/>
      <c r="V36" s="198"/>
      <c r="W36" s="198"/>
      <c r="X36" s="203"/>
      <c r="Y36" s="203"/>
      <c r="Z36" s="203"/>
      <c r="AA36" s="203"/>
      <c r="AB36" s="203"/>
      <c r="AC36" s="203"/>
      <c r="AD36" s="203"/>
      <c r="AE36" s="203"/>
      <c r="AF36" s="203"/>
      <c r="AG36" s="203"/>
    </row>
    <row r="37" ht="15.75" customHeight="1">
      <c r="A37" s="241"/>
      <c r="B37" s="249" t="s">
        <v>251</v>
      </c>
      <c r="C37" s="16"/>
      <c r="D37" s="17"/>
      <c r="E37" s="250" t="s">
        <v>252</v>
      </c>
      <c r="F37" s="250" t="s">
        <v>252</v>
      </c>
      <c r="G37" s="250" t="s">
        <v>252</v>
      </c>
      <c r="H37" s="250" t="s">
        <v>252</v>
      </c>
      <c r="I37" s="250" t="s">
        <v>252</v>
      </c>
      <c r="J37" s="250" t="s">
        <v>252</v>
      </c>
      <c r="K37" s="250" t="s">
        <v>252</v>
      </c>
      <c r="L37" s="250"/>
      <c r="M37" s="250"/>
      <c r="N37" s="250"/>
      <c r="O37" s="250"/>
      <c r="P37" s="250"/>
      <c r="Q37" s="250"/>
      <c r="R37" s="250"/>
      <c r="S37" s="250"/>
      <c r="T37" s="250"/>
      <c r="U37" s="198"/>
      <c r="V37" s="198"/>
      <c r="W37" s="198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</row>
    <row r="38" ht="15.75" customHeight="1">
      <c r="A38" s="241"/>
      <c r="B38" s="251" t="s">
        <v>253</v>
      </c>
      <c r="C38" s="16"/>
      <c r="D38" s="17"/>
      <c r="E38" s="252">
        <v>45931.0</v>
      </c>
      <c r="F38" s="252">
        <v>45931.0</v>
      </c>
      <c r="G38" s="252">
        <v>45931.0</v>
      </c>
      <c r="H38" s="252">
        <v>45931.0</v>
      </c>
      <c r="I38" s="252">
        <v>45931.0</v>
      </c>
      <c r="J38" s="252">
        <v>45931.0</v>
      </c>
      <c r="K38" s="252">
        <v>45931.0</v>
      </c>
      <c r="L38" s="252"/>
      <c r="M38" s="252"/>
      <c r="N38" s="252"/>
      <c r="O38" s="252"/>
      <c r="P38" s="252"/>
      <c r="Q38" s="252"/>
      <c r="R38" s="252"/>
      <c r="S38" s="252"/>
      <c r="T38" s="252"/>
      <c r="U38" s="198"/>
      <c r="V38" s="198"/>
      <c r="W38" s="198"/>
      <c r="X38" s="203"/>
      <c r="Y38" s="203"/>
      <c r="Z38" s="203"/>
      <c r="AA38" s="203"/>
      <c r="AB38" s="203"/>
      <c r="AC38" s="203"/>
      <c r="AD38" s="203"/>
      <c r="AE38" s="203"/>
      <c r="AF38" s="203"/>
      <c r="AG38" s="203"/>
    </row>
    <row r="39" ht="74.25" customHeight="1">
      <c r="A39" s="253"/>
      <c r="B39" s="254" t="s">
        <v>254</v>
      </c>
      <c r="C39" s="255"/>
      <c r="D39" s="256"/>
      <c r="E39" s="257"/>
      <c r="F39" s="257"/>
      <c r="G39" s="258"/>
      <c r="H39" s="259"/>
      <c r="I39" s="259"/>
      <c r="J39" s="259"/>
      <c r="K39" s="259"/>
      <c r="L39" s="257"/>
      <c r="M39" s="257"/>
      <c r="N39" s="257"/>
      <c r="O39" s="257"/>
      <c r="P39" s="257"/>
      <c r="Q39" s="257"/>
      <c r="R39" s="257"/>
      <c r="S39" s="257"/>
      <c r="T39" s="257"/>
      <c r="U39" s="198"/>
      <c r="V39" s="198"/>
      <c r="W39" s="198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</row>
    <row r="40" ht="15.75" customHeight="1">
      <c r="A40" s="198"/>
      <c r="B40" s="198"/>
      <c r="C40" s="198"/>
      <c r="D40" s="198"/>
      <c r="E40" s="198"/>
      <c r="F40" s="198"/>
      <c r="G40" s="198"/>
      <c r="H40" s="199"/>
      <c r="I40" s="199"/>
      <c r="J40" s="199"/>
      <c r="K40" s="199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  <c r="AB40" s="198"/>
      <c r="AC40" s="198"/>
      <c r="AD40" s="198"/>
      <c r="AE40" s="198"/>
      <c r="AF40" s="198"/>
      <c r="AG40" s="198"/>
    </row>
    <row r="41" ht="15.75" customHeight="1">
      <c r="A41" s="198"/>
      <c r="B41" s="198"/>
      <c r="C41" s="198"/>
      <c r="D41" s="198"/>
      <c r="E41" s="198"/>
      <c r="F41" s="198"/>
      <c r="G41" s="198"/>
      <c r="H41" s="199"/>
      <c r="I41" s="199"/>
      <c r="J41" s="199"/>
      <c r="K41" s="199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  <c r="AC41" s="198"/>
      <c r="AD41" s="198"/>
      <c r="AE41" s="198"/>
      <c r="AF41" s="198"/>
      <c r="AG41" s="198"/>
    </row>
    <row r="42" ht="15.75" customHeight="1">
      <c r="A42" s="198"/>
      <c r="B42" s="198"/>
      <c r="C42" s="198"/>
      <c r="D42" s="198"/>
      <c r="E42" s="198"/>
      <c r="F42" s="198"/>
      <c r="G42" s="198"/>
      <c r="H42" s="199"/>
      <c r="I42" s="199"/>
      <c r="J42" s="199"/>
      <c r="K42" s="199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  <c r="AC42" s="198"/>
      <c r="AD42" s="198"/>
      <c r="AE42" s="198"/>
      <c r="AF42" s="198"/>
      <c r="AG42" s="198"/>
    </row>
    <row r="43" ht="15.75" customHeight="1">
      <c r="A43" s="198"/>
      <c r="B43" s="198"/>
      <c r="C43" s="198"/>
      <c r="D43" s="198"/>
      <c r="E43" s="198"/>
      <c r="F43" s="198"/>
      <c r="G43" s="198"/>
      <c r="H43" s="199"/>
      <c r="I43" s="199"/>
      <c r="J43" s="199"/>
      <c r="K43" s="199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  <c r="AC43" s="198"/>
      <c r="AD43" s="198"/>
      <c r="AE43" s="198"/>
      <c r="AF43" s="198"/>
      <c r="AG43" s="198"/>
    </row>
    <row r="44" ht="15.75" customHeight="1">
      <c r="A44" s="198"/>
      <c r="B44" s="198"/>
      <c r="C44" s="198"/>
      <c r="D44" s="198"/>
      <c r="E44" s="198"/>
      <c r="F44" s="198"/>
      <c r="G44" s="198"/>
      <c r="H44" s="199"/>
      <c r="I44" s="199"/>
      <c r="J44" s="199"/>
      <c r="K44" s="199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  <c r="AC44" s="198"/>
      <c r="AD44" s="198"/>
      <c r="AE44" s="198"/>
      <c r="AF44" s="198"/>
      <c r="AG44" s="198"/>
    </row>
    <row r="45" ht="15.75" customHeight="1">
      <c r="A45" s="198"/>
      <c r="B45" s="198"/>
      <c r="C45" s="198"/>
      <c r="D45" s="198"/>
      <c r="E45" s="198"/>
      <c r="F45" s="198"/>
      <c r="G45" s="198"/>
      <c r="H45" s="199"/>
      <c r="I45" s="199"/>
      <c r="J45" s="199"/>
      <c r="K45" s="199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  <c r="AC45" s="198"/>
      <c r="AD45" s="198"/>
      <c r="AE45" s="198"/>
      <c r="AF45" s="198"/>
      <c r="AG45" s="198"/>
    </row>
    <row r="46" ht="15.75" customHeight="1">
      <c r="A46" s="198"/>
      <c r="B46" s="198"/>
      <c r="C46" s="198"/>
      <c r="D46" s="198"/>
      <c r="E46" s="198"/>
      <c r="F46" s="198"/>
      <c r="G46" s="198"/>
      <c r="H46" s="199"/>
      <c r="I46" s="199"/>
      <c r="J46" s="199"/>
      <c r="K46" s="199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</row>
    <row r="47" ht="15.75" customHeight="1">
      <c r="A47" s="198"/>
      <c r="B47" s="198"/>
      <c r="C47" s="198"/>
      <c r="D47" s="198"/>
      <c r="E47" s="198"/>
      <c r="F47" s="198"/>
      <c r="G47" s="198"/>
      <c r="H47" s="199"/>
      <c r="I47" s="199"/>
      <c r="J47" s="199"/>
      <c r="K47" s="199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198"/>
    </row>
    <row r="48" ht="15.75" customHeight="1">
      <c r="A48" s="198"/>
      <c r="B48" s="198"/>
      <c r="C48" s="198"/>
      <c r="D48" s="198"/>
      <c r="E48" s="198"/>
      <c r="F48" s="198"/>
      <c r="G48" s="198"/>
      <c r="H48" s="199"/>
      <c r="I48" s="199"/>
      <c r="J48" s="199"/>
      <c r="K48" s="199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8"/>
      <c r="AB48" s="198"/>
      <c r="AC48" s="198"/>
      <c r="AD48" s="198"/>
      <c r="AE48" s="198"/>
      <c r="AF48" s="198"/>
      <c r="AG48" s="198"/>
    </row>
    <row r="49" ht="15.75" customHeight="1">
      <c r="A49" s="198"/>
      <c r="B49" s="198"/>
      <c r="C49" s="198"/>
      <c r="D49" s="198"/>
      <c r="E49" s="198"/>
      <c r="F49" s="198"/>
      <c r="G49" s="198"/>
      <c r="H49" s="199"/>
      <c r="I49" s="199"/>
      <c r="J49" s="199"/>
      <c r="K49" s="199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  <c r="AA49" s="198"/>
      <c r="AB49" s="198"/>
      <c r="AC49" s="198"/>
      <c r="AD49" s="198"/>
      <c r="AE49" s="198"/>
      <c r="AF49" s="198"/>
      <c r="AG49" s="198"/>
    </row>
    <row r="50" ht="15.75" customHeight="1">
      <c r="A50" s="198"/>
      <c r="B50" s="198"/>
      <c r="C50" s="198"/>
      <c r="D50" s="198"/>
      <c r="E50" s="198"/>
      <c r="F50" s="198"/>
      <c r="G50" s="198"/>
      <c r="H50" s="199"/>
      <c r="I50" s="199"/>
      <c r="J50" s="199"/>
      <c r="K50" s="199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</row>
    <row r="51" ht="15.75" customHeight="1">
      <c r="A51" s="198"/>
      <c r="B51" s="198"/>
      <c r="C51" s="198"/>
      <c r="D51" s="198"/>
      <c r="E51" s="198"/>
      <c r="F51" s="198"/>
      <c r="G51" s="198"/>
      <c r="H51" s="199"/>
      <c r="I51" s="199"/>
      <c r="J51" s="199"/>
      <c r="K51" s="199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</row>
    <row r="52" ht="15.75" customHeight="1">
      <c r="A52" s="198"/>
      <c r="B52" s="198"/>
      <c r="C52" s="198"/>
      <c r="D52" s="198"/>
      <c r="E52" s="198"/>
      <c r="F52" s="198"/>
      <c r="G52" s="198"/>
      <c r="H52" s="199"/>
      <c r="I52" s="199"/>
      <c r="J52" s="199"/>
      <c r="K52" s="199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</row>
    <row r="53" ht="15.75" customHeight="1">
      <c r="A53" s="198"/>
      <c r="B53" s="198"/>
      <c r="C53" s="198"/>
      <c r="D53" s="198"/>
      <c r="E53" s="198"/>
      <c r="F53" s="198"/>
      <c r="G53" s="198"/>
      <c r="H53" s="199"/>
      <c r="I53" s="199"/>
      <c r="J53" s="199"/>
      <c r="K53" s="199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</row>
    <row r="54" ht="15.75" customHeight="1">
      <c r="A54" s="198"/>
      <c r="B54" s="198"/>
      <c r="C54" s="198"/>
      <c r="D54" s="198"/>
      <c r="E54" s="198"/>
      <c r="F54" s="198"/>
      <c r="G54" s="198"/>
      <c r="H54" s="199"/>
      <c r="I54" s="199"/>
      <c r="J54" s="199"/>
      <c r="K54" s="199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</row>
    <row r="55" ht="15.75" customHeight="1">
      <c r="A55" s="198"/>
      <c r="B55" s="198"/>
      <c r="C55" s="198"/>
      <c r="D55" s="198"/>
      <c r="E55" s="198"/>
      <c r="F55" s="198"/>
      <c r="G55" s="198"/>
      <c r="H55" s="199"/>
      <c r="I55" s="199"/>
      <c r="J55" s="199"/>
      <c r="K55" s="199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</row>
    <row r="56" ht="15.75" customHeight="1">
      <c r="A56" s="198"/>
      <c r="B56" s="198"/>
      <c r="C56" s="198"/>
      <c r="D56" s="198"/>
      <c r="E56" s="198"/>
      <c r="F56" s="198"/>
      <c r="G56" s="198"/>
      <c r="H56" s="199"/>
      <c r="I56" s="199"/>
      <c r="J56" s="199"/>
      <c r="K56" s="199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</row>
    <row r="57" ht="15.75" customHeight="1">
      <c r="A57" s="198"/>
      <c r="B57" s="198"/>
      <c r="C57" s="198"/>
      <c r="D57" s="198"/>
      <c r="E57" s="198"/>
      <c r="F57" s="198"/>
      <c r="G57" s="198"/>
      <c r="H57" s="199"/>
      <c r="I57" s="199"/>
      <c r="J57" s="199"/>
      <c r="K57" s="199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8"/>
      <c r="AB57" s="198"/>
      <c r="AC57" s="198"/>
      <c r="AD57" s="198"/>
      <c r="AE57" s="198"/>
      <c r="AF57" s="198"/>
      <c r="AG57" s="198"/>
    </row>
    <row r="58" ht="15.75" customHeight="1">
      <c r="A58" s="198"/>
      <c r="B58" s="198"/>
      <c r="C58" s="198"/>
      <c r="D58" s="198"/>
      <c r="E58" s="198"/>
      <c r="F58" s="198"/>
      <c r="G58" s="198"/>
      <c r="H58" s="199"/>
      <c r="I58" s="199"/>
      <c r="J58" s="199"/>
      <c r="K58" s="199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8"/>
      <c r="AB58" s="198"/>
      <c r="AC58" s="198"/>
      <c r="AD58" s="198"/>
      <c r="AE58" s="198"/>
      <c r="AF58" s="198"/>
      <c r="AG58" s="198"/>
    </row>
    <row r="59" ht="15.75" customHeight="1">
      <c r="A59" s="198"/>
      <c r="B59" s="198"/>
      <c r="C59" s="198"/>
      <c r="D59" s="198"/>
      <c r="E59" s="198"/>
      <c r="F59" s="198"/>
      <c r="G59" s="198"/>
      <c r="H59" s="199"/>
      <c r="I59" s="199"/>
      <c r="J59" s="199"/>
      <c r="K59" s="199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  <c r="AB59" s="198"/>
      <c r="AC59" s="198"/>
      <c r="AD59" s="198"/>
      <c r="AE59" s="198"/>
      <c r="AF59" s="198"/>
      <c r="AG59" s="198"/>
    </row>
    <row r="60" ht="15.75" customHeight="1">
      <c r="A60" s="198"/>
      <c r="B60" s="198"/>
      <c r="C60" s="198"/>
      <c r="D60" s="198"/>
      <c r="E60" s="198"/>
      <c r="F60" s="198"/>
      <c r="G60" s="198"/>
      <c r="H60" s="199"/>
      <c r="I60" s="199"/>
      <c r="J60" s="199"/>
      <c r="K60" s="199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</row>
    <row r="61" ht="15.75" customHeight="1">
      <c r="A61" s="198"/>
      <c r="B61" s="198"/>
      <c r="C61" s="198"/>
      <c r="D61" s="198"/>
      <c r="E61" s="198"/>
      <c r="F61" s="198"/>
      <c r="G61" s="198"/>
      <c r="H61" s="199"/>
      <c r="I61" s="199"/>
      <c r="J61" s="199"/>
      <c r="K61" s="199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  <c r="AB61" s="198"/>
      <c r="AC61" s="198"/>
      <c r="AD61" s="198"/>
      <c r="AE61" s="198"/>
      <c r="AF61" s="198"/>
      <c r="AG61" s="198"/>
    </row>
    <row r="62" ht="15.75" customHeight="1">
      <c r="A62" s="198"/>
      <c r="B62" s="198"/>
      <c r="C62" s="198"/>
      <c r="D62" s="198"/>
      <c r="E62" s="198"/>
      <c r="F62" s="198"/>
      <c r="G62" s="198"/>
      <c r="H62" s="199"/>
      <c r="I62" s="199"/>
      <c r="J62" s="199"/>
      <c r="K62" s="199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</row>
    <row r="63" ht="15.75" customHeight="1">
      <c r="A63" s="198"/>
      <c r="B63" s="198"/>
      <c r="C63" s="198"/>
      <c r="D63" s="198"/>
      <c r="E63" s="198"/>
      <c r="F63" s="198"/>
      <c r="G63" s="198"/>
      <c r="H63" s="199"/>
      <c r="I63" s="199"/>
      <c r="J63" s="199"/>
      <c r="K63" s="199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  <c r="AB63" s="198"/>
      <c r="AC63" s="198"/>
      <c r="AD63" s="198"/>
      <c r="AE63" s="198"/>
      <c r="AF63" s="198"/>
      <c r="AG63" s="198"/>
    </row>
    <row r="64" ht="15.75" customHeight="1">
      <c r="A64" s="198"/>
      <c r="B64" s="198"/>
      <c r="C64" s="198"/>
      <c r="D64" s="198"/>
      <c r="E64" s="198"/>
      <c r="F64" s="198"/>
      <c r="G64" s="198"/>
      <c r="H64" s="199"/>
      <c r="I64" s="199"/>
      <c r="J64" s="199"/>
      <c r="K64" s="199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8"/>
      <c r="AB64" s="198"/>
      <c r="AC64" s="198"/>
      <c r="AD64" s="198"/>
      <c r="AE64" s="198"/>
      <c r="AF64" s="198"/>
      <c r="AG64" s="198"/>
    </row>
    <row r="65" ht="15.75" customHeight="1">
      <c r="A65" s="198"/>
      <c r="B65" s="198"/>
      <c r="C65" s="198"/>
      <c r="D65" s="198"/>
      <c r="E65" s="198"/>
      <c r="F65" s="198"/>
      <c r="G65" s="198"/>
      <c r="H65" s="199"/>
      <c r="I65" s="199"/>
      <c r="J65" s="199"/>
      <c r="K65" s="199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  <c r="AB65" s="198"/>
      <c r="AC65" s="198"/>
      <c r="AD65" s="198"/>
      <c r="AE65" s="198"/>
      <c r="AF65" s="198"/>
      <c r="AG65" s="198"/>
    </row>
    <row r="66" ht="15.75" customHeight="1">
      <c r="A66" s="198"/>
      <c r="B66" s="198"/>
      <c r="C66" s="198"/>
      <c r="D66" s="198"/>
      <c r="E66" s="198"/>
      <c r="F66" s="198"/>
      <c r="G66" s="198"/>
      <c r="H66" s="199"/>
      <c r="I66" s="199"/>
      <c r="J66" s="199"/>
      <c r="K66" s="199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</row>
    <row r="67" ht="15.75" customHeight="1">
      <c r="A67" s="198"/>
      <c r="B67" s="198"/>
      <c r="C67" s="198"/>
      <c r="D67" s="198"/>
      <c r="E67" s="198"/>
      <c r="F67" s="198"/>
      <c r="G67" s="198"/>
      <c r="H67" s="199"/>
      <c r="I67" s="199"/>
      <c r="J67" s="199"/>
      <c r="K67" s="199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</row>
    <row r="68" ht="15.75" customHeight="1">
      <c r="A68" s="198"/>
      <c r="B68" s="198"/>
      <c r="C68" s="198"/>
      <c r="D68" s="198"/>
      <c r="E68" s="198"/>
      <c r="F68" s="198"/>
      <c r="G68" s="198"/>
      <c r="H68" s="199"/>
      <c r="I68" s="199"/>
      <c r="J68" s="199"/>
      <c r="K68" s="199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</row>
    <row r="69" ht="15.75" customHeight="1">
      <c r="A69" s="198"/>
      <c r="B69" s="198"/>
      <c r="C69" s="198"/>
      <c r="D69" s="198"/>
      <c r="E69" s="198"/>
      <c r="F69" s="198"/>
      <c r="G69" s="198"/>
      <c r="H69" s="199"/>
      <c r="I69" s="199"/>
      <c r="J69" s="199"/>
      <c r="K69" s="199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</row>
    <row r="70" ht="15.75" customHeight="1">
      <c r="A70" s="198"/>
      <c r="B70" s="198"/>
      <c r="C70" s="198"/>
      <c r="D70" s="198"/>
      <c r="E70" s="198"/>
      <c r="F70" s="198"/>
      <c r="G70" s="198"/>
      <c r="H70" s="199"/>
      <c r="I70" s="199"/>
      <c r="J70" s="199"/>
      <c r="K70" s="199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</row>
    <row r="71" ht="15.75" customHeight="1">
      <c r="A71" s="198"/>
      <c r="B71" s="198"/>
      <c r="C71" s="198"/>
      <c r="D71" s="198"/>
      <c r="E71" s="198"/>
      <c r="F71" s="198"/>
      <c r="G71" s="198"/>
      <c r="H71" s="199"/>
      <c r="I71" s="199"/>
      <c r="J71" s="199"/>
      <c r="K71" s="199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</row>
    <row r="72" ht="15.75" customHeight="1">
      <c r="A72" s="198"/>
      <c r="B72" s="198"/>
      <c r="C72" s="198"/>
      <c r="D72" s="198"/>
      <c r="E72" s="198"/>
      <c r="F72" s="198"/>
      <c r="G72" s="198"/>
      <c r="H72" s="199"/>
      <c r="I72" s="199"/>
      <c r="J72" s="199"/>
      <c r="K72" s="199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</row>
    <row r="73" ht="15.75" customHeight="1">
      <c r="A73" s="198"/>
      <c r="B73" s="198"/>
      <c r="C73" s="198"/>
      <c r="D73" s="198"/>
      <c r="E73" s="198"/>
      <c r="F73" s="198"/>
      <c r="G73" s="198"/>
      <c r="H73" s="199"/>
      <c r="I73" s="199"/>
      <c r="J73" s="199"/>
      <c r="K73" s="199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</row>
    <row r="74" ht="15.75" customHeight="1">
      <c r="A74" s="198"/>
      <c r="B74" s="198"/>
      <c r="C74" s="198"/>
      <c r="D74" s="198"/>
      <c r="E74" s="198"/>
      <c r="F74" s="198"/>
      <c r="G74" s="198"/>
      <c r="H74" s="199"/>
      <c r="I74" s="199"/>
      <c r="J74" s="199"/>
      <c r="K74" s="199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</row>
    <row r="75" ht="15.75" customHeight="1">
      <c r="A75" s="198"/>
      <c r="B75" s="198"/>
      <c r="C75" s="198"/>
      <c r="D75" s="198"/>
      <c r="E75" s="198"/>
      <c r="F75" s="198"/>
      <c r="G75" s="198"/>
      <c r="H75" s="199"/>
      <c r="I75" s="199"/>
      <c r="J75" s="199"/>
      <c r="K75" s="199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</row>
    <row r="76" ht="15.75" customHeight="1">
      <c r="A76" s="198"/>
      <c r="B76" s="198"/>
      <c r="C76" s="198"/>
      <c r="D76" s="198"/>
      <c r="E76" s="198"/>
      <c r="F76" s="198"/>
      <c r="G76" s="198"/>
      <c r="H76" s="199"/>
      <c r="I76" s="199"/>
      <c r="J76" s="199"/>
      <c r="K76" s="199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</row>
    <row r="77" ht="15.75" customHeight="1">
      <c r="A77" s="198"/>
      <c r="B77" s="198"/>
      <c r="C77" s="198"/>
      <c r="D77" s="198"/>
      <c r="E77" s="198"/>
      <c r="F77" s="198"/>
      <c r="G77" s="198"/>
      <c r="H77" s="199"/>
      <c r="I77" s="199"/>
      <c r="J77" s="199"/>
      <c r="K77" s="199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</row>
    <row r="78" ht="15.75" customHeight="1">
      <c r="A78" s="198"/>
      <c r="B78" s="198"/>
      <c r="C78" s="198"/>
      <c r="D78" s="198"/>
      <c r="E78" s="198"/>
      <c r="F78" s="198"/>
      <c r="G78" s="198"/>
      <c r="H78" s="199"/>
      <c r="I78" s="199"/>
      <c r="J78" s="199"/>
      <c r="K78" s="199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</row>
    <row r="79" ht="15.75" customHeight="1">
      <c r="A79" s="198"/>
      <c r="B79" s="198"/>
      <c r="C79" s="198"/>
      <c r="D79" s="198"/>
      <c r="E79" s="198"/>
      <c r="F79" s="198"/>
      <c r="G79" s="198"/>
      <c r="H79" s="199"/>
      <c r="I79" s="199"/>
      <c r="J79" s="199"/>
      <c r="K79" s="199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</row>
    <row r="80" ht="15.75" customHeight="1">
      <c r="A80" s="198"/>
      <c r="B80" s="198"/>
      <c r="C80" s="198"/>
      <c r="D80" s="198"/>
      <c r="E80" s="198"/>
      <c r="F80" s="198"/>
      <c r="G80" s="198"/>
      <c r="H80" s="199"/>
      <c r="I80" s="199"/>
      <c r="J80" s="199"/>
      <c r="K80" s="199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</row>
    <row r="81" ht="15.75" customHeight="1">
      <c r="A81" s="198"/>
      <c r="B81" s="198"/>
      <c r="C81" s="198"/>
      <c r="D81" s="198"/>
      <c r="E81" s="198"/>
      <c r="F81" s="198"/>
      <c r="G81" s="198"/>
      <c r="H81" s="199"/>
      <c r="I81" s="199"/>
      <c r="J81" s="199"/>
      <c r="K81" s="199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</row>
    <row r="82" ht="15.75" customHeight="1">
      <c r="A82" s="198"/>
      <c r="B82" s="198"/>
      <c r="C82" s="198"/>
      <c r="D82" s="198"/>
      <c r="E82" s="198"/>
      <c r="F82" s="198"/>
      <c r="G82" s="198"/>
      <c r="H82" s="199"/>
      <c r="I82" s="199"/>
      <c r="J82" s="199"/>
      <c r="K82" s="199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  <c r="AA82" s="198"/>
      <c r="AB82" s="198"/>
      <c r="AC82" s="198"/>
      <c r="AD82" s="198"/>
      <c r="AE82" s="198"/>
      <c r="AF82" s="198"/>
      <c r="AG82" s="198"/>
    </row>
    <row r="83" ht="15.75" customHeight="1">
      <c r="A83" s="198"/>
      <c r="B83" s="198"/>
      <c r="C83" s="198"/>
      <c r="D83" s="198"/>
      <c r="E83" s="198"/>
      <c r="F83" s="198"/>
      <c r="G83" s="198"/>
      <c r="H83" s="199"/>
      <c r="I83" s="199"/>
      <c r="J83" s="199"/>
      <c r="K83" s="199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</row>
    <row r="84" ht="15.75" customHeight="1">
      <c r="A84" s="198"/>
      <c r="B84" s="198"/>
      <c r="C84" s="198"/>
      <c r="D84" s="198"/>
      <c r="E84" s="198"/>
      <c r="F84" s="198"/>
      <c r="G84" s="198"/>
      <c r="H84" s="199"/>
      <c r="I84" s="199"/>
      <c r="J84" s="199"/>
      <c r="K84" s="199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  <c r="AA84" s="198"/>
      <c r="AB84" s="198"/>
      <c r="AC84" s="198"/>
      <c r="AD84" s="198"/>
      <c r="AE84" s="198"/>
      <c r="AF84" s="198"/>
      <c r="AG84" s="198"/>
    </row>
    <row r="85" ht="15.75" customHeight="1">
      <c r="A85" s="198"/>
      <c r="B85" s="198"/>
      <c r="C85" s="198"/>
      <c r="D85" s="198"/>
      <c r="E85" s="198"/>
      <c r="F85" s="198"/>
      <c r="G85" s="198"/>
      <c r="H85" s="199"/>
      <c r="I85" s="199"/>
      <c r="J85" s="199"/>
      <c r="K85" s="199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198"/>
    </row>
    <row r="86" ht="15.75" customHeight="1">
      <c r="A86" s="198"/>
      <c r="B86" s="198"/>
      <c r="C86" s="198"/>
      <c r="D86" s="198"/>
      <c r="E86" s="198"/>
      <c r="F86" s="198"/>
      <c r="G86" s="198"/>
      <c r="H86" s="199"/>
      <c r="I86" s="199"/>
      <c r="J86" s="199"/>
      <c r="K86" s="199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</row>
    <row r="87" ht="15.75" customHeight="1">
      <c r="A87" s="198"/>
      <c r="B87" s="198"/>
      <c r="C87" s="198"/>
      <c r="D87" s="198"/>
      <c r="E87" s="198"/>
      <c r="F87" s="198"/>
      <c r="G87" s="198"/>
      <c r="H87" s="199"/>
      <c r="I87" s="199"/>
      <c r="J87" s="199"/>
      <c r="K87" s="199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</row>
    <row r="88" ht="15.75" customHeight="1">
      <c r="A88" s="198"/>
      <c r="B88" s="198"/>
      <c r="C88" s="198"/>
      <c r="D88" s="198"/>
      <c r="E88" s="198"/>
      <c r="F88" s="198"/>
      <c r="G88" s="198"/>
      <c r="H88" s="199"/>
      <c r="I88" s="199"/>
      <c r="J88" s="199"/>
      <c r="K88" s="199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</row>
    <row r="89" ht="15.75" customHeight="1">
      <c r="A89" s="198"/>
      <c r="B89" s="198"/>
      <c r="C89" s="198"/>
      <c r="D89" s="198"/>
      <c r="E89" s="198"/>
      <c r="F89" s="198"/>
      <c r="G89" s="198"/>
      <c r="H89" s="199"/>
      <c r="I89" s="199"/>
      <c r="J89" s="199"/>
      <c r="K89" s="199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</row>
    <row r="90" ht="15.75" customHeight="1">
      <c r="A90" s="198"/>
      <c r="B90" s="198"/>
      <c r="C90" s="198"/>
      <c r="D90" s="198"/>
      <c r="E90" s="198"/>
      <c r="F90" s="198"/>
      <c r="G90" s="198"/>
      <c r="H90" s="199"/>
      <c r="I90" s="199"/>
      <c r="J90" s="199"/>
      <c r="K90" s="199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  <c r="AA90" s="198"/>
      <c r="AB90" s="198"/>
      <c r="AC90" s="198"/>
      <c r="AD90" s="198"/>
      <c r="AE90" s="198"/>
      <c r="AF90" s="198"/>
      <c r="AG90" s="198"/>
    </row>
    <row r="91" ht="15.75" customHeight="1">
      <c r="A91" s="198"/>
      <c r="B91" s="198"/>
      <c r="C91" s="198"/>
      <c r="D91" s="198"/>
      <c r="E91" s="198"/>
      <c r="F91" s="198"/>
      <c r="G91" s="198"/>
      <c r="H91" s="199"/>
      <c r="I91" s="199"/>
      <c r="J91" s="199"/>
      <c r="K91" s="199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</row>
    <row r="92" ht="15.75" customHeight="1">
      <c r="A92" s="198"/>
      <c r="B92" s="198"/>
      <c r="C92" s="198"/>
      <c r="D92" s="198"/>
      <c r="E92" s="198"/>
      <c r="F92" s="198"/>
      <c r="G92" s="198"/>
      <c r="H92" s="199"/>
      <c r="I92" s="199"/>
      <c r="J92" s="199"/>
      <c r="K92" s="199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</row>
    <row r="93" ht="15.75" customHeight="1">
      <c r="A93" s="198"/>
      <c r="B93" s="198"/>
      <c r="C93" s="198"/>
      <c r="D93" s="198"/>
      <c r="E93" s="198"/>
      <c r="F93" s="198"/>
      <c r="G93" s="198"/>
      <c r="H93" s="199"/>
      <c r="I93" s="199"/>
      <c r="J93" s="199"/>
      <c r="K93" s="199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198"/>
    </row>
    <row r="94" ht="15.75" customHeight="1">
      <c r="A94" s="198"/>
      <c r="B94" s="198"/>
      <c r="C94" s="198"/>
      <c r="D94" s="198"/>
      <c r="E94" s="198"/>
      <c r="F94" s="198"/>
      <c r="G94" s="198"/>
      <c r="H94" s="199"/>
      <c r="I94" s="199"/>
      <c r="J94" s="199"/>
      <c r="K94" s="199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  <c r="AA94" s="198"/>
      <c r="AB94" s="198"/>
      <c r="AC94" s="198"/>
      <c r="AD94" s="198"/>
      <c r="AE94" s="198"/>
      <c r="AF94" s="198"/>
      <c r="AG94" s="198"/>
    </row>
    <row r="95" ht="15.75" customHeight="1">
      <c r="A95" s="198"/>
      <c r="B95" s="198"/>
      <c r="C95" s="198"/>
      <c r="D95" s="198"/>
      <c r="E95" s="198"/>
      <c r="F95" s="198"/>
      <c r="G95" s="198"/>
      <c r="H95" s="199"/>
      <c r="I95" s="199"/>
      <c r="J95" s="199"/>
      <c r="K95" s="199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</row>
    <row r="96" ht="15.75" customHeight="1">
      <c r="A96" s="198"/>
      <c r="B96" s="198"/>
      <c r="C96" s="198"/>
      <c r="D96" s="198"/>
      <c r="E96" s="198"/>
      <c r="F96" s="198"/>
      <c r="G96" s="198"/>
      <c r="H96" s="199"/>
      <c r="I96" s="199"/>
      <c r="J96" s="199"/>
      <c r="K96" s="199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  <c r="AA96" s="198"/>
      <c r="AB96" s="198"/>
      <c r="AC96" s="198"/>
      <c r="AD96" s="198"/>
      <c r="AE96" s="198"/>
      <c r="AF96" s="198"/>
      <c r="AG96" s="198"/>
    </row>
    <row r="97" ht="15.75" customHeight="1">
      <c r="A97" s="198"/>
      <c r="B97" s="198"/>
      <c r="C97" s="198"/>
      <c r="D97" s="198"/>
      <c r="E97" s="198"/>
      <c r="F97" s="198"/>
      <c r="G97" s="198"/>
      <c r="H97" s="199"/>
      <c r="I97" s="199"/>
      <c r="J97" s="199"/>
      <c r="K97" s="199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</row>
    <row r="98" ht="15.75" customHeight="1">
      <c r="A98" s="198"/>
      <c r="B98" s="198"/>
      <c r="C98" s="198"/>
      <c r="D98" s="198"/>
      <c r="E98" s="198"/>
      <c r="F98" s="198"/>
      <c r="G98" s="198"/>
      <c r="H98" s="199"/>
      <c r="I98" s="199"/>
      <c r="J98" s="199"/>
      <c r="K98" s="199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  <c r="AA98" s="198"/>
      <c r="AB98" s="198"/>
      <c r="AC98" s="198"/>
      <c r="AD98" s="198"/>
      <c r="AE98" s="198"/>
      <c r="AF98" s="198"/>
      <c r="AG98" s="198"/>
    </row>
    <row r="99" ht="15.75" customHeight="1">
      <c r="A99" s="198"/>
      <c r="B99" s="198"/>
      <c r="C99" s="198"/>
      <c r="D99" s="198"/>
      <c r="E99" s="198"/>
      <c r="F99" s="198"/>
      <c r="G99" s="198"/>
      <c r="H99" s="199"/>
      <c r="I99" s="199"/>
      <c r="J99" s="199"/>
      <c r="K99" s="199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  <c r="AA99" s="198"/>
      <c r="AB99" s="198"/>
      <c r="AC99" s="198"/>
      <c r="AD99" s="198"/>
      <c r="AE99" s="198"/>
      <c r="AF99" s="198"/>
      <c r="AG99" s="198"/>
    </row>
    <row r="100" ht="15.75" customHeight="1">
      <c r="A100" s="198"/>
      <c r="B100" s="198"/>
      <c r="C100" s="198"/>
      <c r="D100" s="198"/>
      <c r="E100" s="198"/>
      <c r="F100" s="198"/>
      <c r="G100" s="198"/>
      <c r="H100" s="199"/>
      <c r="I100" s="199"/>
      <c r="J100" s="199"/>
      <c r="K100" s="199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</row>
    <row r="101" ht="15.75" customHeight="1">
      <c r="A101" s="198"/>
      <c r="B101" s="198"/>
      <c r="C101" s="198"/>
      <c r="D101" s="198"/>
      <c r="E101" s="198"/>
      <c r="F101" s="198"/>
      <c r="G101" s="198"/>
      <c r="H101" s="199"/>
      <c r="I101" s="199"/>
      <c r="J101" s="199"/>
      <c r="K101" s="199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  <c r="AA101" s="198"/>
      <c r="AB101" s="198"/>
      <c r="AC101" s="198"/>
      <c r="AD101" s="198"/>
      <c r="AE101" s="198"/>
      <c r="AF101" s="198"/>
      <c r="AG101" s="198"/>
    </row>
    <row r="102" ht="15.75" customHeight="1">
      <c r="A102" s="198"/>
      <c r="B102" s="198"/>
      <c r="C102" s="198"/>
      <c r="D102" s="198"/>
      <c r="E102" s="198"/>
      <c r="F102" s="198"/>
      <c r="G102" s="198"/>
      <c r="H102" s="199"/>
      <c r="I102" s="199"/>
      <c r="J102" s="199"/>
      <c r="K102" s="199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  <c r="AA102" s="198"/>
      <c r="AB102" s="198"/>
      <c r="AC102" s="198"/>
      <c r="AD102" s="198"/>
      <c r="AE102" s="198"/>
      <c r="AF102" s="198"/>
      <c r="AG102" s="198"/>
    </row>
    <row r="103" ht="15.75" customHeight="1">
      <c r="A103" s="198"/>
      <c r="B103" s="198"/>
      <c r="C103" s="198"/>
      <c r="D103" s="198"/>
      <c r="E103" s="198"/>
      <c r="F103" s="198"/>
      <c r="G103" s="198"/>
      <c r="H103" s="199"/>
      <c r="I103" s="199"/>
      <c r="J103" s="199"/>
      <c r="K103" s="199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</row>
    <row r="104" ht="15.75" customHeight="1">
      <c r="A104" s="198"/>
      <c r="B104" s="198"/>
      <c r="C104" s="198"/>
      <c r="D104" s="198"/>
      <c r="E104" s="198"/>
      <c r="F104" s="198"/>
      <c r="G104" s="198"/>
      <c r="H104" s="199"/>
      <c r="I104" s="199"/>
      <c r="J104" s="199"/>
      <c r="K104" s="199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  <c r="AA104" s="198"/>
      <c r="AB104" s="198"/>
      <c r="AC104" s="198"/>
      <c r="AD104" s="198"/>
      <c r="AE104" s="198"/>
      <c r="AF104" s="198"/>
      <c r="AG104" s="198"/>
    </row>
    <row r="105" ht="15.75" customHeight="1">
      <c r="A105" s="198"/>
      <c r="B105" s="198"/>
      <c r="C105" s="198"/>
      <c r="D105" s="198"/>
      <c r="E105" s="198"/>
      <c r="F105" s="198"/>
      <c r="G105" s="198"/>
      <c r="H105" s="199"/>
      <c r="I105" s="199"/>
      <c r="J105" s="199"/>
      <c r="K105" s="199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</row>
    <row r="106" ht="15.75" customHeight="1">
      <c r="A106" s="198"/>
      <c r="B106" s="198"/>
      <c r="C106" s="198"/>
      <c r="D106" s="198"/>
      <c r="E106" s="198"/>
      <c r="F106" s="198"/>
      <c r="G106" s="198"/>
      <c r="H106" s="199"/>
      <c r="I106" s="199"/>
      <c r="J106" s="199"/>
      <c r="K106" s="199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  <c r="AA106" s="198"/>
      <c r="AB106" s="198"/>
      <c r="AC106" s="198"/>
      <c r="AD106" s="198"/>
      <c r="AE106" s="198"/>
      <c r="AF106" s="198"/>
      <c r="AG106" s="198"/>
    </row>
    <row r="107" ht="15.75" customHeight="1">
      <c r="A107" s="198"/>
      <c r="B107" s="198"/>
      <c r="C107" s="198"/>
      <c r="D107" s="198"/>
      <c r="E107" s="198"/>
      <c r="F107" s="198"/>
      <c r="G107" s="198"/>
      <c r="H107" s="199"/>
      <c r="I107" s="199"/>
      <c r="J107" s="199"/>
      <c r="K107" s="199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</row>
    <row r="108" ht="15.75" customHeight="1">
      <c r="A108" s="198"/>
      <c r="B108" s="198"/>
      <c r="C108" s="198"/>
      <c r="D108" s="198"/>
      <c r="E108" s="198"/>
      <c r="F108" s="198"/>
      <c r="G108" s="198"/>
      <c r="H108" s="199"/>
      <c r="I108" s="199"/>
      <c r="J108" s="199"/>
      <c r="K108" s="199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  <c r="AA108" s="198"/>
      <c r="AB108" s="198"/>
      <c r="AC108" s="198"/>
      <c r="AD108" s="198"/>
      <c r="AE108" s="198"/>
      <c r="AF108" s="198"/>
      <c r="AG108" s="198"/>
    </row>
    <row r="109" ht="15.75" customHeight="1">
      <c r="A109" s="198"/>
      <c r="B109" s="198"/>
      <c r="C109" s="198"/>
      <c r="D109" s="198"/>
      <c r="E109" s="198"/>
      <c r="F109" s="198"/>
      <c r="G109" s="198"/>
      <c r="H109" s="199"/>
      <c r="I109" s="199"/>
      <c r="J109" s="199"/>
      <c r="K109" s="199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</row>
    <row r="110" ht="15.75" customHeight="1">
      <c r="A110" s="198"/>
      <c r="B110" s="198"/>
      <c r="C110" s="198"/>
      <c r="D110" s="198"/>
      <c r="E110" s="198"/>
      <c r="F110" s="198"/>
      <c r="G110" s="198"/>
      <c r="H110" s="199"/>
      <c r="I110" s="199"/>
      <c r="J110" s="199"/>
      <c r="K110" s="199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</row>
    <row r="111" ht="15.75" customHeight="1">
      <c r="A111" s="198"/>
      <c r="B111" s="198"/>
      <c r="C111" s="198"/>
      <c r="D111" s="198"/>
      <c r="E111" s="198"/>
      <c r="F111" s="198"/>
      <c r="G111" s="198"/>
      <c r="H111" s="199"/>
      <c r="I111" s="199"/>
      <c r="J111" s="199"/>
      <c r="K111" s="199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</row>
    <row r="112" ht="15.75" customHeight="1">
      <c r="A112" s="198"/>
      <c r="B112" s="198"/>
      <c r="C112" s="198"/>
      <c r="D112" s="198"/>
      <c r="E112" s="198"/>
      <c r="F112" s="198"/>
      <c r="G112" s="198"/>
      <c r="H112" s="199"/>
      <c r="I112" s="199"/>
      <c r="J112" s="199"/>
      <c r="K112" s="199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  <c r="AA112" s="198"/>
      <c r="AB112" s="198"/>
      <c r="AC112" s="198"/>
      <c r="AD112" s="198"/>
      <c r="AE112" s="198"/>
      <c r="AF112" s="198"/>
      <c r="AG112" s="198"/>
    </row>
    <row r="113" ht="15.75" customHeight="1">
      <c r="A113" s="198"/>
      <c r="B113" s="198"/>
      <c r="C113" s="198"/>
      <c r="D113" s="198"/>
      <c r="E113" s="198"/>
      <c r="F113" s="198"/>
      <c r="G113" s="198"/>
      <c r="H113" s="199"/>
      <c r="I113" s="199"/>
      <c r="J113" s="199"/>
      <c r="K113" s="199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</row>
    <row r="114" ht="15.75" customHeight="1">
      <c r="A114" s="198"/>
      <c r="B114" s="198"/>
      <c r="C114" s="198"/>
      <c r="D114" s="198"/>
      <c r="E114" s="198"/>
      <c r="F114" s="198"/>
      <c r="G114" s="198"/>
      <c r="H114" s="199"/>
      <c r="I114" s="199"/>
      <c r="J114" s="199"/>
      <c r="K114" s="199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  <c r="AA114" s="198"/>
      <c r="AB114" s="198"/>
      <c r="AC114" s="198"/>
      <c r="AD114" s="198"/>
      <c r="AE114" s="198"/>
      <c r="AF114" s="198"/>
      <c r="AG114" s="198"/>
    </row>
    <row r="115" ht="15.75" customHeight="1">
      <c r="A115" s="198"/>
      <c r="B115" s="198"/>
      <c r="C115" s="198"/>
      <c r="D115" s="198"/>
      <c r="E115" s="198"/>
      <c r="F115" s="198"/>
      <c r="G115" s="198"/>
      <c r="H115" s="199"/>
      <c r="I115" s="199"/>
      <c r="J115" s="199"/>
      <c r="K115" s="199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</row>
    <row r="116" ht="15.75" customHeight="1">
      <c r="A116" s="198"/>
      <c r="B116" s="198"/>
      <c r="C116" s="198"/>
      <c r="D116" s="198"/>
      <c r="E116" s="198"/>
      <c r="F116" s="198"/>
      <c r="G116" s="198"/>
      <c r="H116" s="199"/>
      <c r="I116" s="199"/>
      <c r="J116" s="199"/>
      <c r="K116" s="199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  <c r="AA116" s="198"/>
      <c r="AB116" s="198"/>
      <c r="AC116" s="198"/>
      <c r="AD116" s="198"/>
      <c r="AE116" s="198"/>
      <c r="AF116" s="198"/>
      <c r="AG116" s="198"/>
    </row>
    <row r="117" ht="15.75" customHeight="1">
      <c r="A117" s="198"/>
      <c r="B117" s="198"/>
      <c r="C117" s="198"/>
      <c r="D117" s="198"/>
      <c r="E117" s="198"/>
      <c r="F117" s="198"/>
      <c r="G117" s="198"/>
      <c r="H117" s="199"/>
      <c r="I117" s="199"/>
      <c r="J117" s="199"/>
      <c r="K117" s="199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</row>
    <row r="118" ht="15.75" customHeight="1">
      <c r="A118" s="198"/>
      <c r="B118" s="198"/>
      <c r="C118" s="198"/>
      <c r="D118" s="198"/>
      <c r="E118" s="198"/>
      <c r="F118" s="198"/>
      <c r="G118" s="198"/>
      <c r="H118" s="199"/>
      <c r="I118" s="199"/>
      <c r="J118" s="199"/>
      <c r="K118" s="199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8"/>
    </row>
    <row r="119" ht="15.75" customHeight="1">
      <c r="A119" s="198"/>
      <c r="B119" s="198"/>
      <c r="C119" s="198"/>
      <c r="D119" s="198"/>
      <c r="E119" s="198"/>
      <c r="F119" s="198"/>
      <c r="G119" s="198"/>
      <c r="H119" s="199"/>
      <c r="I119" s="199"/>
      <c r="J119" s="199"/>
      <c r="K119" s="199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</row>
    <row r="120" ht="15.75" customHeight="1">
      <c r="A120" s="198"/>
      <c r="B120" s="198"/>
      <c r="C120" s="198"/>
      <c r="D120" s="198"/>
      <c r="E120" s="198"/>
      <c r="F120" s="198"/>
      <c r="G120" s="198"/>
      <c r="H120" s="199"/>
      <c r="I120" s="199"/>
      <c r="J120" s="199"/>
      <c r="K120" s="199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8"/>
    </row>
    <row r="121" ht="15.75" customHeight="1">
      <c r="A121" s="198"/>
      <c r="B121" s="198"/>
      <c r="C121" s="198"/>
      <c r="D121" s="198"/>
      <c r="E121" s="198"/>
      <c r="F121" s="198"/>
      <c r="G121" s="198"/>
      <c r="H121" s="199"/>
      <c r="I121" s="199"/>
      <c r="J121" s="199"/>
      <c r="K121" s="199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</row>
    <row r="122" ht="15.75" customHeight="1">
      <c r="A122" s="198"/>
      <c r="B122" s="198"/>
      <c r="C122" s="198"/>
      <c r="D122" s="198"/>
      <c r="E122" s="198"/>
      <c r="F122" s="198"/>
      <c r="G122" s="198"/>
      <c r="H122" s="199"/>
      <c r="I122" s="199"/>
      <c r="J122" s="199"/>
      <c r="K122" s="199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</row>
    <row r="123" ht="15.75" customHeight="1">
      <c r="A123" s="198"/>
      <c r="B123" s="198"/>
      <c r="C123" s="198"/>
      <c r="D123" s="198"/>
      <c r="E123" s="198"/>
      <c r="F123" s="198"/>
      <c r="G123" s="198"/>
      <c r="H123" s="199"/>
      <c r="I123" s="199"/>
      <c r="J123" s="199"/>
      <c r="K123" s="199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8"/>
    </row>
    <row r="124" ht="15.75" customHeight="1">
      <c r="A124" s="198"/>
      <c r="B124" s="198"/>
      <c r="C124" s="198"/>
      <c r="D124" s="198"/>
      <c r="E124" s="198"/>
      <c r="F124" s="198"/>
      <c r="G124" s="198"/>
      <c r="H124" s="199"/>
      <c r="I124" s="199"/>
      <c r="J124" s="199"/>
      <c r="K124" s="199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8"/>
    </row>
    <row r="125" ht="15.75" customHeight="1">
      <c r="A125" s="198"/>
      <c r="B125" s="198"/>
      <c r="C125" s="198"/>
      <c r="D125" s="198"/>
      <c r="E125" s="198"/>
      <c r="F125" s="198"/>
      <c r="G125" s="198"/>
      <c r="H125" s="199"/>
      <c r="I125" s="199"/>
      <c r="J125" s="199"/>
      <c r="K125" s="199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8"/>
    </row>
    <row r="126" ht="15.75" customHeight="1">
      <c r="A126" s="198"/>
      <c r="B126" s="198"/>
      <c r="C126" s="198"/>
      <c r="D126" s="198"/>
      <c r="E126" s="198"/>
      <c r="F126" s="198"/>
      <c r="G126" s="198"/>
      <c r="H126" s="199"/>
      <c r="I126" s="199"/>
      <c r="J126" s="199"/>
      <c r="K126" s="199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  <c r="AA126" s="198"/>
      <c r="AB126" s="198"/>
      <c r="AC126" s="198"/>
      <c r="AD126" s="198"/>
      <c r="AE126" s="198"/>
      <c r="AF126" s="198"/>
      <c r="AG126" s="198"/>
    </row>
    <row r="127" ht="15.75" customHeight="1">
      <c r="A127" s="198"/>
      <c r="B127" s="198"/>
      <c r="C127" s="198"/>
      <c r="D127" s="198"/>
      <c r="E127" s="198"/>
      <c r="F127" s="198"/>
      <c r="G127" s="198"/>
      <c r="H127" s="199"/>
      <c r="I127" s="199"/>
      <c r="J127" s="199"/>
      <c r="K127" s="199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</row>
    <row r="128" ht="15.75" customHeight="1">
      <c r="A128" s="198"/>
      <c r="B128" s="198"/>
      <c r="C128" s="198"/>
      <c r="D128" s="198"/>
      <c r="E128" s="198"/>
      <c r="F128" s="198"/>
      <c r="G128" s="198"/>
      <c r="H128" s="199"/>
      <c r="I128" s="199"/>
      <c r="J128" s="199"/>
      <c r="K128" s="199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  <c r="AA128" s="198"/>
      <c r="AB128" s="198"/>
      <c r="AC128" s="198"/>
      <c r="AD128" s="198"/>
      <c r="AE128" s="198"/>
      <c r="AF128" s="198"/>
      <c r="AG128" s="198"/>
    </row>
    <row r="129" ht="15.75" customHeight="1">
      <c r="A129" s="198"/>
      <c r="B129" s="198"/>
      <c r="C129" s="198"/>
      <c r="D129" s="198"/>
      <c r="E129" s="198"/>
      <c r="F129" s="198"/>
      <c r="G129" s="198"/>
      <c r="H129" s="199"/>
      <c r="I129" s="199"/>
      <c r="J129" s="199"/>
      <c r="K129" s="199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</row>
    <row r="130" ht="15.75" customHeight="1">
      <c r="A130" s="198"/>
      <c r="B130" s="198"/>
      <c r="C130" s="198"/>
      <c r="D130" s="198"/>
      <c r="E130" s="198"/>
      <c r="F130" s="198"/>
      <c r="G130" s="198"/>
      <c r="H130" s="199"/>
      <c r="I130" s="199"/>
      <c r="J130" s="199"/>
      <c r="K130" s="199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</row>
    <row r="131" ht="15.75" customHeight="1">
      <c r="A131" s="198"/>
      <c r="B131" s="198"/>
      <c r="C131" s="198"/>
      <c r="D131" s="198"/>
      <c r="E131" s="198"/>
      <c r="F131" s="198"/>
      <c r="G131" s="198"/>
      <c r="H131" s="199"/>
      <c r="I131" s="199"/>
      <c r="J131" s="199"/>
      <c r="K131" s="199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</row>
    <row r="132" ht="15.75" customHeight="1">
      <c r="A132" s="198"/>
      <c r="B132" s="198"/>
      <c r="C132" s="198"/>
      <c r="D132" s="198"/>
      <c r="E132" s="198"/>
      <c r="F132" s="198"/>
      <c r="G132" s="198"/>
      <c r="H132" s="199"/>
      <c r="I132" s="199"/>
      <c r="J132" s="199"/>
      <c r="K132" s="199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</row>
    <row r="133" ht="15.75" customHeight="1">
      <c r="A133" s="198"/>
      <c r="B133" s="198"/>
      <c r="C133" s="198"/>
      <c r="D133" s="198"/>
      <c r="E133" s="198"/>
      <c r="F133" s="198"/>
      <c r="G133" s="198"/>
      <c r="H133" s="199"/>
      <c r="I133" s="199"/>
      <c r="J133" s="199"/>
      <c r="K133" s="199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  <c r="AA133" s="198"/>
      <c r="AB133" s="198"/>
      <c r="AC133" s="198"/>
      <c r="AD133" s="198"/>
      <c r="AE133" s="198"/>
      <c r="AF133" s="198"/>
      <c r="AG133" s="198"/>
    </row>
    <row r="134" ht="15.75" customHeight="1">
      <c r="A134" s="198"/>
      <c r="B134" s="198"/>
      <c r="C134" s="198"/>
      <c r="D134" s="198"/>
      <c r="E134" s="198"/>
      <c r="F134" s="198"/>
      <c r="G134" s="198"/>
      <c r="H134" s="199"/>
      <c r="I134" s="199"/>
      <c r="J134" s="199"/>
      <c r="K134" s="199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</row>
    <row r="135" ht="15.75" customHeight="1">
      <c r="A135" s="198"/>
      <c r="B135" s="198"/>
      <c r="C135" s="198"/>
      <c r="D135" s="198"/>
      <c r="E135" s="198"/>
      <c r="F135" s="198"/>
      <c r="G135" s="198"/>
      <c r="H135" s="199"/>
      <c r="I135" s="199"/>
      <c r="J135" s="199"/>
      <c r="K135" s="199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  <c r="AA135" s="198"/>
      <c r="AB135" s="198"/>
      <c r="AC135" s="198"/>
      <c r="AD135" s="198"/>
      <c r="AE135" s="198"/>
      <c r="AF135" s="198"/>
      <c r="AG135" s="198"/>
    </row>
    <row r="136" ht="15.75" customHeight="1">
      <c r="A136" s="198"/>
      <c r="B136" s="198"/>
      <c r="C136" s="198"/>
      <c r="D136" s="198"/>
      <c r="E136" s="198"/>
      <c r="F136" s="198"/>
      <c r="G136" s="198"/>
      <c r="H136" s="199"/>
      <c r="I136" s="199"/>
      <c r="J136" s="199"/>
      <c r="K136" s="199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</row>
    <row r="137" ht="15.75" customHeight="1">
      <c r="A137" s="198"/>
      <c r="B137" s="198"/>
      <c r="C137" s="198"/>
      <c r="D137" s="198"/>
      <c r="E137" s="198"/>
      <c r="F137" s="198"/>
      <c r="G137" s="198"/>
      <c r="H137" s="199"/>
      <c r="I137" s="199"/>
      <c r="J137" s="199"/>
      <c r="K137" s="199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  <c r="AA137" s="198"/>
      <c r="AB137" s="198"/>
      <c r="AC137" s="198"/>
      <c r="AD137" s="198"/>
      <c r="AE137" s="198"/>
      <c r="AF137" s="198"/>
      <c r="AG137" s="198"/>
    </row>
    <row r="138" ht="15.75" customHeight="1">
      <c r="A138" s="198"/>
      <c r="B138" s="198"/>
      <c r="C138" s="198"/>
      <c r="D138" s="198"/>
      <c r="E138" s="198"/>
      <c r="F138" s="198"/>
      <c r="G138" s="198"/>
      <c r="H138" s="199"/>
      <c r="I138" s="199"/>
      <c r="J138" s="199"/>
      <c r="K138" s="199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</row>
    <row r="139" ht="15.75" customHeight="1">
      <c r="A139" s="198"/>
      <c r="B139" s="198"/>
      <c r="C139" s="198"/>
      <c r="D139" s="198"/>
      <c r="E139" s="198"/>
      <c r="F139" s="198"/>
      <c r="G139" s="198"/>
      <c r="H139" s="199"/>
      <c r="I139" s="199"/>
      <c r="J139" s="199"/>
      <c r="K139" s="199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  <c r="AA139" s="198"/>
      <c r="AB139" s="198"/>
      <c r="AC139" s="198"/>
      <c r="AD139" s="198"/>
      <c r="AE139" s="198"/>
      <c r="AF139" s="198"/>
      <c r="AG139" s="198"/>
    </row>
    <row r="140" ht="15.75" customHeight="1">
      <c r="A140" s="198"/>
      <c r="B140" s="198"/>
      <c r="C140" s="198"/>
      <c r="D140" s="198"/>
      <c r="E140" s="198"/>
      <c r="F140" s="198"/>
      <c r="G140" s="198"/>
      <c r="H140" s="199"/>
      <c r="I140" s="199"/>
      <c r="J140" s="199"/>
      <c r="K140" s="199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</row>
    <row r="141" ht="15.75" customHeight="1">
      <c r="A141" s="198"/>
      <c r="B141" s="198"/>
      <c r="C141" s="198"/>
      <c r="D141" s="198"/>
      <c r="E141" s="198"/>
      <c r="F141" s="198"/>
      <c r="G141" s="198"/>
      <c r="H141" s="199"/>
      <c r="I141" s="199"/>
      <c r="J141" s="199"/>
      <c r="K141" s="199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  <c r="AA141" s="198"/>
      <c r="AB141" s="198"/>
      <c r="AC141" s="198"/>
      <c r="AD141" s="198"/>
      <c r="AE141" s="198"/>
      <c r="AF141" s="198"/>
      <c r="AG141" s="198"/>
    </row>
    <row r="142" ht="15.75" customHeight="1">
      <c r="A142" s="198"/>
      <c r="B142" s="198"/>
      <c r="C142" s="198"/>
      <c r="D142" s="198"/>
      <c r="E142" s="198"/>
      <c r="F142" s="198"/>
      <c r="G142" s="198"/>
      <c r="H142" s="199"/>
      <c r="I142" s="199"/>
      <c r="J142" s="199"/>
      <c r="K142" s="199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</row>
    <row r="143" ht="15.75" customHeight="1">
      <c r="A143" s="198"/>
      <c r="B143" s="198"/>
      <c r="C143" s="198"/>
      <c r="D143" s="198"/>
      <c r="E143" s="198"/>
      <c r="F143" s="198"/>
      <c r="G143" s="198"/>
      <c r="H143" s="199"/>
      <c r="I143" s="199"/>
      <c r="J143" s="199"/>
      <c r="K143" s="199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  <c r="AA143" s="198"/>
      <c r="AB143" s="198"/>
      <c r="AC143" s="198"/>
      <c r="AD143" s="198"/>
      <c r="AE143" s="198"/>
      <c r="AF143" s="198"/>
      <c r="AG143" s="198"/>
    </row>
    <row r="144" ht="15.75" customHeight="1">
      <c r="A144" s="198"/>
      <c r="B144" s="198"/>
      <c r="C144" s="198"/>
      <c r="D144" s="198"/>
      <c r="E144" s="198"/>
      <c r="F144" s="198"/>
      <c r="G144" s="198"/>
      <c r="H144" s="199"/>
      <c r="I144" s="199"/>
      <c r="J144" s="199"/>
      <c r="K144" s="199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</row>
    <row r="145" ht="15.75" customHeight="1">
      <c r="A145" s="198"/>
      <c r="B145" s="198"/>
      <c r="C145" s="198"/>
      <c r="D145" s="198"/>
      <c r="E145" s="198"/>
      <c r="F145" s="198"/>
      <c r="G145" s="198"/>
      <c r="H145" s="199"/>
      <c r="I145" s="199"/>
      <c r="J145" s="199"/>
      <c r="K145" s="199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</row>
    <row r="146" ht="15.75" customHeight="1">
      <c r="A146" s="198"/>
      <c r="B146" s="198"/>
      <c r="C146" s="198"/>
      <c r="D146" s="198"/>
      <c r="E146" s="198"/>
      <c r="F146" s="198"/>
      <c r="G146" s="198"/>
      <c r="H146" s="199"/>
      <c r="I146" s="199"/>
      <c r="J146" s="199"/>
      <c r="K146" s="199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</row>
    <row r="147" ht="15.75" customHeight="1">
      <c r="A147" s="198"/>
      <c r="B147" s="198"/>
      <c r="C147" s="198"/>
      <c r="D147" s="198"/>
      <c r="E147" s="198"/>
      <c r="F147" s="198"/>
      <c r="G147" s="198"/>
      <c r="H147" s="199"/>
      <c r="I147" s="199"/>
      <c r="J147" s="199"/>
      <c r="K147" s="199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  <c r="AA147" s="198"/>
      <c r="AB147" s="198"/>
      <c r="AC147" s="198"/>
      <c r="AD147" s="198"/>
      <c r="AE147" s="198"/>
      <c r="AF147" s="198"/>
      <c r="AG147" s="198"/>
    </row>
    <row r="148" ht="15.75" customHeight="1">
      <c r="A148" s="198"/>
      <c r="B148" s="198"/>
      <c r="C148" s="198"/>
      <c r="D148" s="198"/>
      <c r="E148" s="198"/>
      <c r="F148" s="198"/>
      <c r="G148" s="198"/>
      <c r="H148" s="199"/>
      <c r="I148" s="199"/>
      <c r="J148" s="199"/>
      <c r="K148" s="199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</row>
    <row r="149" ht="15.75" customHeight="1">
      <c r="A149" s="198"/>
      <c r="B149" s="198"/>
      <c r="C149" s="198"/>
      <c r="D149" s="198"/>
      <c r="E149" s="198"/>
      <c r="F149" s="198"/>
      <c r="G149" s="198"/>
      <c r="H149" s="199"/>
      <c r="I149" s="199"/>
      <c r="J149" s="199"/>
      <c r="K149" s="199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198"/>
    </row>
    <row r="150" ht="15.75" customHeight="1">
      <c r="A150" s="198"/>
      <c r="B150" s="198"/>
      <c r="C150" s="198"/>
      <c r="D150" s="198"/>
      <c r="E150" s="198"/>
      <c r="F150" s="198"/>
      <c r="G150" s="198"/>
      <c r="H150" s="199"/>
      <c r="I150" s="199"/>
      <c r="J150" s="199"/>
      <c r="K150" s="199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</row>
    <row r="151" ht="15.75" customHeight="1">
      <c r="A151" s="198"/>
      <c r="B151" s="198"/>
      <c r="C151" s="198"/>
      <c r="D151" s="198"/>
      <c r="E151" s="198"/>
      <c r="F151" s="198"/>
      <c r="G151" s="198"/>
      <c r="H151" s="199"/>
      <c r="I151" s="199"/>
      <c r="J151" s="199"/>
      <c r="K151" s="199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  <c r="AA151" s="198"/>
      <c r="AB151" s="198"/>
      <c r="AC151" s="198"/>
      <c r="AD151" s="198"/>
      <c r="AE151" s="198"/>
      <c r="AF151" s="198"/>
      <c r="AG151" s="198"/>
    </row>
    <row r="152" ht="15.75" customHeight="1">
      <c r="A152" s="198"/>
      <c r="B152" s="198"/>
      <c r="C152" s="198"/>
      <c r="D152" s="198"/>
      <c r="E152" s="198"/>
      <c r="F152" s="198"/>
      <c r="G152" s="198"/>
      <c r="H152" s="199"/>
      <c r="I152" s="199"/>
      <c r="J152" s="199"/>
      <c r="K152" s="199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  <c r="AA152" s="198"/>
      <c r="AB152" s="198"/>
      <c r="AC152" s="198"/>
      <c r="AD152" s="198"/>
      <c r="AE152" s="198"/>
      <c r="AF152" s="198"/>
      <c r="AG152" s="198"/>
    </row>
    <row r="153" ht="15.75" customHeight="1">
      <c r="A153" s="198"/>
      <c r="B153" s="198"/>
      <c r="C153" s="198"/>
      <c r="D153" s="198"/>
      <c r="E153" s="198"/>
      <c r="F153" s="198"/>
      <c r="G153" s="198"/>
      <c r="H153" s="199"/>
      <c r="I153" s="199"/>
      <c r="J153" s="199"/>
      <c r="K153" s="199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</row>
    <row r="154" ht="15.75" customHeight="1">
      <c r="A154" s="198"/>
      <c r="B154" s="198"/>
      <c r="C154" s="198"/>
      <c r="D154" s="198"/>
      <c r="E154" s="198"/>
      <c r="F154" s="198"/>
      <c r="G154" s="198"/>
      <c r="H154" s="199"/>
      <c r="I154" s="199"/>
      <c r="J154" s="199"/>
      <c r="K154" s="199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</row>
    <row r="155" ht="15.75" customHeight="1">
      <c r="A155" s="198"/>
      <c r="B155" s="198"/>
      <c r="C155" s="198"/>
      <c r="D155" s="198"/>
      <c r="E155" s="198"/>
      <c r="F155" s="198"/>
      <c r="G155" s="198"/>
      <c r="H155" s="199"/>
      <c r="I155" s="199"/>
      <c r="J155" s="199"/>
      <c r="K155" s="199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</row>
    <row r="156" ht="15.75" customHeight="1">
      <c r="A156" s="198"/>
      <c r="B156" s="198"/>
      <c r="C156" s="198"/>
      <c r="D156" s="198"/>
      <c r="E156" s="198"/>
      <c r="F156" s="198"/>
      <c r="G156" s="198"/>
      <c r="H156" s="199"/>
      <c r="I156" s="199"/>
      <c r="J156" s="199"/>
      <c r="K156" s="199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</row>
    <row r="157" ht="15.75" customHeight="1">
      <c r="A157" s="198"/>
      <c r="B157" s="198"/>
      <c r="C157" s="198"/>
      <c r="D157" s="198"/>
      <c r="E157" s="198"/>
      <c r="F157" s="198"/>
      <c r="G157" s="198"/>
      <c r="H157" s="199"/>
      <c r="I157" s="199"/>
      <c r="J157" s="199"/>
      <c r="K157" s="199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</row>
    <row r="158" ht="15.75" customHeight="1">
      <c r="A158" s="198"/>
      <c r="B158" s="198"/>
      <c r="C158" s="198"/>
      <c r="D158" s="198"/>
      <c r="E158" s="198"/>
      <c r="F158" s="198"/>
      <c r="G158" s="198"/>
      <c r="H158" s="199"/>
      <c r="I158" s="199"/>
      <c r="J158" s="199"/>
      <c r="K158" s="199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</row>
    <row r="159" ht="15.75" customHeight="1">
      <c r="A159" s="198"/>
      <c r="B159" s="198"/>
      <c r="C159" s="198"/>
      <c r="D159" s="198"/>
      <c r="E159" s="198"/>
      <c r="F159" s="198"/>
      <c r="G159" s="198"/>
      <c r="H159" s="199"/>
      <c r="I159" s="199"/>
      <c r="J159" s="199"/>
      <c r="K159" s="199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  <c r="AA159" s="198"/>
      <c r="AB159" s="198"/>
      <c r="AC159" s="198"/>
      <c r="AD159" s="198"/>
      <c r="AE159" s="198"/>
      <c r="AF159" s="198"/>
      <c r="AG159" s="198"/>
    </row>
    <row r="160" ht="15.75" customHeight="1">
      <c r="A160" s="198"/>
      <c r="B160" s="198"/>
      <c r="C160" s="198"/>
      <c r="D160" s="198"/>
      <c r="E160" s="198"/>
      <c r="F160" s="198"/>
      <c r="G160" s="198"/>
      <c r="H160" s="199"/>
      <c r="I160" s="199"/>
      <c r="J160" s="199"/>
      <c r="K160" s="199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</row>
    <row r="161" ht="15.75" customHeight="1">
      <c r="A161" s="198"/>
      <c r="B161" s="198"/>
      <c r="C161" s="198"/>
      <c r="D161" s="198"/>
      <c r="E161" s="198"/>
      <c r="F161" s="198"/>
      <c r="G161" s="198"/>
      <c r="H161" s="199"/>
      <c r="I161" s="199"/>
      <c r="J161" s="199"/>
      <c r="K161" s="199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  <c r="AA161" s="198"/>
      <c r="AB161" s="198"/>
      <c r="AC161" s="198"/>
      <c r="AD161" s="198"/>
      <c r="AE161" s="198"/>
      <c r="AF161" s="198"/>
      <c r="AG161" s="198"/>
    </row>
    <row r="162" ht="15.75" customHeight="1">
      <c r="A162" s="198"/>
      <c r="B162" s="198"/>
      <c r="C162" s="198"/>
      <c r="D162" s="198"/>
      <c r="E162" s="198"/>
      <c r="F162" s="198"/>
      <c r="G162" s="198"/>
      <c r="H162" s="199"/>
      <c r="I162" s="199"/>
      <c r="J162" s="199"/>
      <c r="K162" s="199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</row>
    <row r="163" ht="15.75" customHeight="1">
      <c r="A163" s="198"/>
      <c r="B163" s="198"/>
      <c r="C163" s="198"/>
      <c r="D163" s="198"/>
      <c r="E163" s="198"/>
      <c r="F163" s="198"/>
      <c r="G163" s="198"/>
      <c r="H163" s="199"/>
      <c r="I163" s="199"/>
      <c r="J163" s="199"/>
      <c r="K163" s="199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</row>
    <row r="164" ht="15.75" customHeight="1">
      <c r="A164" s="198"/>
      <c r="B164" s="198"/>
      <c r="C164" s="198"/>
      <c r="D164" s="198"/>
      <c r="E164" s="198"/>
      <c r="F164" s="198"/>
      <c r="G164" s="198"/>
      <c r="H164" s="199"/>
      <c r="I164" s="199"/>
      <c r="J164" s="199"/>
      <c r="K164" s="199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</row>
    <row r="165" ht="15.75" customHeight="1">
      <c r="A165" s="198"/>
      <c r="B165" s="198"/>
      <c r="C165" s="198"/>
      <c r="D165" s="198"/>
      <c r="E165" s="198"/>
      <c r="F165" s="198"/>
      <c r="G165" s="198"/>
      <c r="H165" s="199"/>
      <c r="I165" s="199"/>
      <c r="J165" s="199"/>
      <c r="K165" s="199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</row>
    <row r="166" ht="15.75" customHeight="1">
      <c r="A166" s="198"/>
      <c r="B166" s="198"/>
      <c r="C166" s="198"/>
      <c r="D166" s="198"/>
      <c r="E166" s="198"/>
      <c r="F166" s="198"/>
      <c r="G166" s="198"/>
      <c r="H166" s="199"/>
      <c r="I166" s="199"/>
      <c r="J166" s="199"/>
      <c r="K166" s="199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</row>
    <row r="167" ht="15.75" customHeight="1">
      <c r="A167" s="198"/>
      <c r="B167" s="198"/>
      <c r="C167" s="198"/>
      <c r="D167" s="198"/>
      <c r="E167" s="198"/>
      <c r="F167" s="198"/>
      <c r="G167" s="198"/>
      <c r="H167" s="199"/>
      <c r="I167" s="199"/>
      <c r="J167" s="199"/>
      <c r="K167" s="199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</row>
    <row r="168" ht="15.75" customHeight="1">
      <c r="A168" s="198"/>
      <c r="B168" s="198"/>
      <c r="C168" s="198"/>
      <c r="D168" s="198"/>
      <c r="E168" s="198"/>
      <c r="F168" s="198"/>
      <c r="G168" s="198"/>
      <c r="H168" s="199"/>
      <c r="I168" s="199"/>
      <c r="J168" s="199"/>
      <c r="K168" s="199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</row>
    <row r="169" ht="15.75" customHeight="1">
      <c r="A169" s="198"/>
      <c r="B169" s="198"/>
      <c r="C169" s="198"/>
      <c r="D169" s="198"/>
      <c r="E169" s="198"/>
      <c r="F169" s="198"/>
      <c r="G169" s="198"/>
      <c r="H169" s="199"/>
      <c r="I169" s="199"/>
      <c r="J169" s="199"/>
      <c r="K169" s="199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</row>
    <row r="170" ht="15.75" customHeight="1">
      <c r="A170" s="198"/>
      <c r="B170" s="198"/>
      <c r="C170" s="198"/>
      <c r="D170" s="198"/>
      <c r="E170" s="198"/>
      <c r="F170" s="198"/>
      <c r="G170" s="198"/>
      <c r="H170" s="199"/>
      <c r="I170" s="199"/>
      <c r="J170" s="199"/>
      <c r="K170" s="199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</row>
    <row r="171" ht="15.75" customHeight="1">
      <c r="A171" s="198"/>
      <c r="B171" s="198"/>
      <c r="C171" s="198"/>
      <c r="D171" s="198"/>
      <c r="E171" s="198"/>
      <c r="F171" s="198"/>
      <c r="G171" s="198"/>
      <c r="H171" s="199"/>
      <c r="I171" s="199"/>
      <c r="J171" s="199"/>
      <c r="K171" s="199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  <c r="AA171" s="198"/>
      <c r="AB171" s="198"/>
      <c r="AC171" s="198"/>
      <c r="AD171" s="198"/>
      <c r="AE171" s="198"/>
      <c r="AF171" s="198"/>
      <c r="AG171" s="198"/>
    </row>
    <row r="172" ht="15.75" customHeight="1">
      <c r="A172" s="198"/>
      <c r="B172" s="198"/>
      <c r="C172" s="198"/>
      <c r="D172" s="198"/>
      <c r="E172" s="198"/>
      <c r="F172" s="198"/>
      <c r="G172" s="198"/>
      <c r="H172" s="199"/>
      <c r="I172" s="199"/>
      <c r="J172" s="199"/>
      <c r="K172" s="199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  <c r="AA172" s="198"/>
      <c r="AB172" s="198"/>
      <c r="AC172" s="198"/>
      <c r="AD172" s="198"/>
      <c r="AE172" s="198"/>
      <c r="AF172" s="198"/>
      <c r="AG172" s="198"/>
    </row>
    <row r="173" ht="15.75" customHeight="1">
      <c r="A173" s="198"/>
      <c r="B173" s="198"/>
      <c r="C173" s="198"/>
      <c r="D173" s="198"/>
      <c r="E173" s="198"/>
      <c r="F173" s="198"/>
      <c r="G173" s="198"/>
      <c r="H173" s="199"/>
      <c r="I173" s="199"/>
      <c r="J173" s="199"/>
      <c r="K173" s="199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</row>
    <row r="174" ht="15.75" customHeight="1">
      <c r="A174" s="198"/>
      <c r="B174" s="198"/>
      <c r="C174" s="198"/>
      <c r="D174" s="198"/>
      <c r="E174" s="198"/>
      <c r="F174" s="198"/>
      <c r="G174" s="198"/>
      <c r="H174" s="199"/>
      <c r="I174" s="199"/>
      <c r="J174" s="199"/>
      <c r="K174" s="199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  <c r="AA174" s="198"/>
      <c r="AB174" s="198"/>
      <c r="AC174" s="198"/>
      <c r="AD174" s="198"/>
      <c r="AE174" s="198"/>
      <c r="AF174" s="198"/>
      <c r="AG174" s="198"/>
    </row>
    <row r="175" ht="15.75" customHeight="1">
      <c r="A175" s="198"/>
      <c r="B175" s="198"/>
      <c r="C175" s="198"/>
      <c r="D175" s="198"/>
      <c r="E175" s="198"/>
      <c r="F175" s="198"/>
      <c r="G175" s="198"/>
      <c r="H175" s="199"/>
      <c r="I175" s="199"/>
      <c r="J175" s="199"/>
      <c r="K175" s="199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  <c r="AA175" s="198"/>
      <c r="AB175" s="198"/>
      <c r="AC175" s="198"/>
      <c r="AD175" s="198"/>
      <c r="AE175" s="198"/>
      <c r="AF175" s="198"/>
      <c r="AG175" s="198"/>
    </row>
    <row r="176" ht="15.75" customHeight="1">
      <c r="A176" s="198"/>
      <c r="B176" s="198"/>
      <c r="C176" s="198"/>
      <c r="D176" s="198"/>
      <c r="E176" s="198"/>
      <c r="F176" s="198"/>
      <c r="G176" s="198"/>
      <c r="H176" s="199"/>
      <c r="I176" s="199"/>
      <c r="J176" s="199"/>
      <c r="K176" s="199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  <c r="AA176" s="198"/>
      <c r="AB176" s="198"/>
      <c r="AC176" s="198"/>
      <c r="AD176" s="198"/>
      <c r="AE176" s="198"/>
      <c r="AF176" s="198"/>
      <c r="AG176" s="198"/>
    </row>
    <row r="177" ht="15.75" customHeight="1">
      <c r="A177" s="198"/>
      <c r="B177" s="198"/>
      <c r="C177" s="198"/>
      <c r="D177" s="198"/>
      <c r="E177" s="198"/>
      <c r="F177" s="198"/>
      <c r="G177" s="198"/>
      <c r="H177" s="199"/>
      <c r="I177" s="199"/>
      <c r="J177" s="199"/>
      <c r="K177" s="199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  <c r="AA177" s="198"/>
      <c r="AB177" s="198"/>
      <c r="AC177" s="198"/>
      <c r="AD177" s="198"/>
      <c r="AE177" s="198"/>
      <c r="AF177" s="198"/>
      <c r="AG177" s="198"/>
    </row>
    <row r="178" ht="15.75" customHeight="1">
      <c r="A178" s="198"/>
      <c r="B178" s="198"/>
      <c r="C178" s="198"/>
      <c r="D178" s="198"/>
      <c r="E178" s="198"/>
      <c r="F178" s="198"/>
      <c r="G178" s="198"/>
      <c r="H178" s="199"/>
      <c r="I178" s="199"/>
      <c r="J178" s="199"/>
      <c r="K178" s="199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  <c r="AA178" s="198"/>
      <c r="AB178" s="198"/>
      <c r="AC178" s="198"/>
      <c r="AD178" s="198"/>
      <c r="AE178" s="198"/>
      <c r="AF178" s="198"/>
      <c r="AG178" s="198"/>
    </row>
    <row r="179" ht="15.75" customHeight="1">
      <c r="A179" s="198"/>
      <c r="B179" s="198"/>
      <c r="C179" s="198"/>
      <c r="D179" s="198"/>
      <c r="E179" s="198"/>
      <c r="F179" s="198"/>
      <c r="G179" s="198"/>
      <c r="H179" s="199"/>
      <c r="I179" s="199"/>
      <c r="J179" s="199"/>
      <c r="K179" s="199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  <c r="AA179" s="198"/>
      <c r="AB179" s="198"/>
      <c r="AC179" s="198"/>
      <c r="AD179" s="198"/>
      <c r="AE179" s="198"/>
      <c r="AF179" s="198"/>
      <c r="AG179" s="198"/>
    </row>
    <row r="180" ht="15.75" customHeight="1">
      <c r="A180" s="198"/>
      <c r="B180" s="198"/>
      <c r="C180" s="198"/>
      <c r="D180" s="198"/>
      <c r="E180" s="198"/>
      <c r="F180" s="198"/>
      <c r="G180" s="198"/>
      <c r="H180" s="199"/>
      <c r="I180" s="199"/>
      <c r="J180" s="199"/>
      <c r="K180" s="199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  <c r="AA180" s="198"/>
      <c r="AB180" s="198"/>
      <c r="AC180" s="198"/>
      <c r="AD180" s="198"/>
      <c r="AE180" s="198"/>
      <c r="AF180" s="198"/>
      <c r="AG180" s="198"/>
    </row>
    <row r="181" ht="15.75" customHeight="1">
      <c r="A181" s="198"/>
      <c r="B181" s="198"/>
      <c r="C181" s="198"/>
      <c r="D181" s="198"/>
      <c r="E181" s="198"/>
      <c r="F181" s="198"/>
      <c r="G181" s="198"/>
      <c r="H181" s="199"/>
      <c r="I181" s="199"/>
      <c r="J181" s="199"/>
      <c r="K181" s="199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  <c r="AA181" s="198"/>
      <c r="AB181" s="198"/>
      <c r="AC181" s="198"/>
      <c r="AD181" s="198"/>
      <c r="AE181" s="198"/>
      <c r="AF181" s="198"/>
      <c r="AG181" s="198"/>
    </row>
    <row r="182" ht="15.75" customHeight="1">
      <c r="A182" s="198"/>
      <c r="B182" s="198"/>
      <c r="C182" s="198"/>
      <c r="D182" s="198"/>
      <c r="E182" s="198"/>
      <c r="F182" s="198"/>
      <c r="G182" s="198"/>
      <c r="H182" s="199"/>
      <c r="I182" s="199"/>
      <c r="J182" s="199"/>
      <c r="K182" s="199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  <c r="AA182" s="198"/>
      <c r="AB182" s="198"/>
      <c r="AC182" s="198"/>
      <c r="AD182" s="198"/>
      <c r="AE182" s="198"/>
      <c r="AF182" s="198"/>
      <c r="AG182" s="198"/>
    </row>
    <row r="183" ht="15.75" customHeight="1">
      <c r="A183" s="198"/>
      <c r="B183" s="198"/>
      <c r="C183" s="198"/>
      <c r="D183" s="198"/>
      <c r="E183" s="198"/>
      <c r="F183" s="198"/>
      <c r="G183" s="198"/>
      <c r="H183" s="199"/>
      <c r="I183" s="199"/>
      <c r="J183" s="199"/>
      <c r="K183" s="199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  <c r="AA183" s="198"/>
      <c r="AB183" s="198"/>
      <c r="AC183" s="198"/>
      <c r="AD183" s="198"/>
      <c r="AE183" s="198"/>
      <c r="AF183" s="198"/>
      <c r="AG183" s="198"/>
    </row>
    <row r="184" ht="15.75" customHeight="1">
      <c r="A184" s="198"/>
      <c r="B184" s="198"/>
      <c r="C184" s="198"/>
      <c r="D184" s="198"/>
      <c r="E184" s="198"/>
      <c r="F184" s="198"/>
      <c r="G184" s="198"/>
      <c r="H184" s="199"/>
      <c r="I184" s="199"/>
      <c r="J184" s="199"/>
      <c r="K184" s="199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</row>
    <row r="185" ht="15.75" customHeight="1">
      <c r="A185" s="198"/>
      <c r="B185" s="198"/>
      <c r="C185" s="198"/>
      <c r="D185" s="198"/>
      <c r="E185" s="198"/>
      <c r="F185" s="198"/>
      <c r="G185" s="198"/>
      <c r="H185" s="199"/>
      <c r="I185" s="199"/>
      <c r="J185" s="199"/>
      <c r="K185" s="199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  <c r="AA185" s="198"/>
      <c r="AB185" s="198"/>
      <c r="AC185" s="198"/>
      <c r="AD185" s="198"/>
      <c r="AE185" s="198"/>
      <c r="AF185" s="198"/>
      <c r="AG185" s="198"/>
    </row>
    <row r="186" ht="15.75" customHeight="1">
      <c r="A186" s="198"/>
      <c r="B186" s="198"/>
      <c r="C186" s="198"/>
      <c r="D186" s="198"/>
      <c r="E186" s="198"/>
      <c r="F186" s="198"/>
      <c r="G186" s="198"/>
      <c r="H186" s="199"/>
      <c r="I186" s="199"/>
      <c r="J186" s="199"/>
      <c r="K186" s="199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  <c r="AA186" s="198"/>
      <c r="AB186" s="198"/>
      <c r="AC186" s="198"/>
      <c r="AD186" s="198"/>
      <c r="AE186" s="198"/>
      <c r="AF186" s="198"/>
      <c r="AG186" s="198"/>
    </row>
    <row r="187" ht="15.75" customHeight="1">
      <c r="A187" s="198"/>
      <c r="B187" s="198"/>
      <c r="C187" s="198"/>
      <c r="D187" s="198"/>
      <c r="E187" s="198"/>
      <c r="F187" s="198"/>
      <c r="G187" s="198"/>
      <c r="H187" s="199"/>
      <c r="I187" s="199"/>
      <c r="J187" s="199"/>
      <c r="K187" s="199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  <c r="AA187" s="198"/>
      <c r="AB187" s="198"/>
      <c r="AC187" s="198"/>
      <c r="AD187" s="198"/>
      <c r="AE187" s="198"/>
      <c r="AF187" s="198"/>
      <c r="AG187" s="198"/>
    </row>
    <row r="188" ht="15.75" customHeight="1">
      <c r="A188" s="198"/>
      <c r="B188" s="198"/>
      <c r="C188" s="198"/>
      <c r="D188" s="198"/>
      <c r="E188" s="198"/>
      <c r="F188" s="198"/>
      <c r="G188" s="198"/>
      <c r="H188" s="199"/>
      <c r="I188" s="199"/>
      <c r="J188" s="199"/>
      <c r="K188" s="199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</row>
    <row r="189" ht="15.75" customHeight="1">
      <c r="A189" s="198"/>
      <c r="B189" s="198"/>
      <c r="C189" s="198"/>
      <c r="D189" s="198"/>
      <c r="E189" s="198"/>
      <c r="F189" s="198"/>
      <c r="G189" s="198"/>
      <c r="H189" s="199"/>
      <c r="I189" s="199"/>
      <c r="J189" s="199"/>
      <c r="K189" s="199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  <c r="AA189" s="198"/>
      <c r="AB189" s="198"/>
      <c r="AC189" s="198"/>
      <c r="AD189" s="198"/>
      <c r="AE189" s="198"/>
      <c r="AF189" s="198"/>
      <c r="AG189" s="198"/>
    </row>
    <row r="190" ht="15.75" customHeight="1">
      <c r="A190" s="198"/>
      <c r="B190" s="198"/>
      <c r="C190" s="198"/>
      <c r="D190" s="198"/>
      <c r="E190" s="198"/>
      <c r="F190" s="198"/>
      <c r="G190" s="198"/>
      <c r="H190" s="199"/>
      <c r="I190" s="199"/>
      <c r="J190" s="199"/>
      <c r="K190" s="199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  <c r="AA190" s="198"/>
      <c r="AB190" s="198"/>
      <c r="AC190" s="198"/>
      <c r="AD190" s="198"/>
      <c r="AE190" s="198"/>
      <c r="AF190" s="198"/>
      <c r="AG190" s="198"/>
    </row>
    <row r="191" ht="15.75" customHeight="1">
      <c r="A191" s="198"/>
      <c r="B191" s="198"/>
      <c r="C191" s="198"/>
      <c r="D191" s="198"/>
      <c r="E191" s="198"/>
      <c r="F191" s="198"/>
      <c r="G191" s="198"/>
      <c r="H191" s="199"/>
      <c r="I191" s="199"/>
      <c r="J191" s="199"/>
      <c r="K191" s="199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</row>
    <row r="192" ht="15.75" customHeight="1">
      <c r="A192" s="198"/>
      <c r="B192" s="198"/>
      <c r="C192" s="198"/>
      <c r="D192" s="198"/>
      <c r="E192" s="198"/>
      <c r="F192" s="198"/>
      <c r="G192" s="198"/>
      <c r="H192" s="199"/>
      <c r="I192" s="199"/>
      <c r="J192" s="199"/>
      <c r="K192" s="199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  <c r="AA192" s="198"/>
      <c r="AB192" s="198"/>
      <c r="AC192" s="198"/>
      <c r="AD192" s="198"/>
      <c r="AE192" s="198"/>
      <c r="AF192" s="198"/>
      <c r="AG192" s="198"/>
    </row>
    <row r="193" ht="15.75" customHeight="1">
      <c r="A193" s="198"/>
      <c r="B193" s="198"/>
      <c r="C193" s="198"/>
      <c r="D193" s="198"/>
      <c r="E193" s="198"/>
      <c r="F193" s="198"/>
      <c r="G193" s="198"/>
      <c r="H193" s="199"/>
      <c r="I193" s="199"/>
      <c r="J193" s="199"/>
      <c r="K193" s="199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</row>
    <row r="194" ht="15.75" customHeight="1">
      <c r="A194" s="198"/>
      <c r="B194" s="198"/>
      <c r="C194" s="198"/>
      <c r="D194" s="198"/>
      <c r="E194" s="198"/>
      <c r="F194" s="198"/>
      <c r="G194" s="198"/>
      <c r="H194" s="199"/>
      <c r="I194" s="199"/>
      <c r="J194" s="199"/>
      <c r="K194" s="199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</row>
    <row r="195" ht="15.75" customHeight="1">
      <c r="A195" s="198"/>
      <c r="B195" s="198"/>
      <c r="C195" s="198"/>
      <c r="D195" s="198"/>
      <c r="E195" s="198"/>
      <c r="F195" s="198"/>
      <c r="G195" s="198"/>
      <c r="H195" s="199"/>
      <c r="I195" s="199"/>
      <c r="J195" s="199"/>
      <c r="K195" s="199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</row>
    <row r="196" ht="15.75" customHeight="1">
      <c r="A196" s="198"/>
      <c r="B196" s="198"/>
      <c r="C196" s="198"/>
      <c r="D196" s="198"/>
      <c r="E196" s="198"/>
      <c r="F196" s="198"/>
      <c r="G196" s="198"/>
      <c r="H196" s="199"/>
      <c r="I196" s="199"/>
      <c r="J196" s="199"/>
      <c r="K196" s="199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  <c r="AA196" s="198"/>
      <c r="AB196" s="198"/>
      <c r="AC196" s="198"/>
      <c r="AD196" s="198"/>
      <c r="AE196" s="198"/>
      <c r="AF196" s="198"/>
      <c r="AG196" s="198"/>
    </row>
    <row r="197" ht="15.75" customHeight="1">
      <c r="A197" s="198"/>
      <c r="B197" s="198"/>
      <c r="C197" s="198"/>
      <c r="D197" s="198"/>
      <c r="E197" s="198"/>
      <c r="F197" s="198"/>
      <c r="G197" s="198"/>
      <c r="H197" s="199"/>
      <c r="I197" s="199"/>
      <c r="J197" s="199"/>
      <c r="K197" s="199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  <c r="AA197" s="198"/>
      <c r="AB197" s="198"/>
      <c r="AC197" s="198"/>
      <c r="AD197" s="198"/>
      <c r="AE197" s="198"/>
      <c r="AF197" s="198"/>
      <c r="AG197" s="198"/>
    </row>
    <row r="198" ht="15.75" customHeight="1">
      <c r="A198" s="198"/>
      <c r="B198" s="198"/>
      <c r="C198" s="198"/>
      <c r="D198" s="198"/>
      <c r="E198" s="198"/>
      <c r="F198" s="198"/>
      <c r="G198" s="198"/>
      <c r="H198" s="199"/>
      <c r="I198" s="199"/>
      <c r="J198" s="199"/>
      <c r="K198" s="199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</row>
    <row r="199" ht="15.75" customHeight="1">
      <c r="A199" s="198"/>
      <c r="B199" s="198"/>
      <c r="C199" s="198"/>
      <c r="D199" s="198"/>
      <c r="E199" s="198"/>
      <c r="F199" s="198"/>
      <c r="G199" s="198"/>
      <c r="H199" s="199"/>
      <c r="I199" s="199"/>
      <c r="J199" s="199"/>
      <c r="K199" s="199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</row>
    <row r="200" ht="15.75" customHeight="1">
      <c r="A200" s="198"/>
      <c r="B200" s="198"/>
      <c r="C200" s="198"/>
      <c r="D200" s="198"/>
      <c r="E200" s="198"/>
      <c r="F200" s="198"/>
      <c r="G200" s="198"/>
      <c r="H200" s="199"/>
      <c r="I200" s="199"/>
      <c r="J200" s="199"/>
      <c r="K200" s="199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</row>
    <row r="201" ht="15.75" customHeight="1">
      <c r="A201" s="198"/>
      <c r="B201" s="198"/>
      <c r="C201" s="198"/>
      <c r="D201" s="198"/>
      <c r="E201" s="198"/>
      <c r="F201" s="198"/>
      <c r="G201" s="198"/>
      <c r="H201" s="199"/>
      <c r="I201" s="199"/>
      <c r="J201" s="199"/>
      <c r="K201" s="199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</row>
    <row r="202" ht="15.75" customHeight="1">
      <c r="A202" s="198"/>
      <c r="B202" s="198"/>
      <c r="C202" s="198"/>
      <c r="D202" s="198"/>
      <c r="E202" s="198"/>
      <c r="F202" s="198"/>
      <c r="G202" s="198"/>
      <c r="H202" s="199"/>
      <c r="I202" s="199"/>
      <c r="J202" s="199"/>
      <c r="K202" s="199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</row>
    <row r="203" ht="15.75" customHeight="1">
      <c r="A203" s="198"/>
      <c r="B203" s="198"/>
      <c r="C203" s="198"/>
      <c r="D203" s="198"/>
      <c r="E203" s="198"/>
      <c r="F203" s="198"/>
      <c r="G203" s="198"/>
      <c r="H203" s="199"/>
      <c r="I203" s="199"/>
      <c r="J203" s="199"/>
      <c r="K203" s="199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  <c r="AA203" s="198"/>
      <c r="AB203" s="198"/>
      <c r="AC203" s="198"/>
      <c r="AD203" s="198"/>
      <c r="AE203" s="198"/>
      <c r="AF203" s="198"/>
      <c r="AG203" s="198"/>
    </row>
    <row r="204" ht="15.75" customHeight="1">
      <c r="A204" s="198"/>
      <c r="B204" s="198"/>
      <c r="C204" s="198"/>
      <c r="D204" s="198"/>
      <c r="E204" s="198"/>
      <c r="F204" s="198"/>
      <c r="G204" s="198"/>
      <c r="H204" s="199"/>
      <c r="I204" s="199"/>
      <c r="J204" s="199"/>
      <c r="K204" s="199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</row>
    <row r="205" ht="15.75" customHeight="1">
      <c r="A205" s="198"/>
      <c r="B205" s="198"/>
      <c r="C205" s="198"/>
      <c r="D205" s="198"/>
      <c r="E205" s="198"/>
      <c r="F205" s="198"/>
      <c r="G205" s="198"/>
      <c r="H205" s="199"/>
      <c r="I205" s="199"/>
      <c r="J205" s="199"/>
      <c r="K205" s="199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  <c r="AA205" s="198"/>
      <c r="AB205" s="198"/>
      <c r="AC205" s="198"/>
      <c r="AD205" s="198"/>
      <c r="AE205" s="198"/>
      <c r="AF205" s="198"/>
      <c r="AG205" s="198"/>
    </row>
    <row r="206" ht="15.75" customHeight="1">
      <c r="A206" s="198"/>
      <c r="B206" s="198"/>
      <c r="C206" s="198"/>
      <c r="D206" s="198"/>
      <c r="E206" s="198"/>
      <c r="F206" s="198"/>
      <c r="G206" s="198"/>
      <c r="H206" s="199"/>
      <c r="I206" s="199"/>
      <c r="J206" s="199"/>
      <c r="K206" s="199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  <c r="AA206" s="198"/>
      <c r="AB206" s="198"/>
      <c r="AC206" s="198"/>
      <c r="AD206" s="198"/>
      <c r="AE206" s="198"/>
      <c r="AF206" s="198"/>
      <c r="AG206" s="198"/>
    </row>
    <row r="207" ht="15.75" customHeight="1">
      <c r="A207" s="198"/>
      <c r="B207" s="198"/>
      <c r="C207" s="198"/>
      <c r="D207" s="198"/>
      <c r="E207" s="198"/>
      <c r="F207" s="198"/>
      <c r="G207" s="198"/>
      <c r="H207" s="199"/>
      <c r="I207" s="199"/>
      <c r="J207" s="199"/>
      <c r="K207" s="199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  <c r="AA207" s="198"/>
      <c r="AB207" s="198"/>
      <c r="AC207" s="198"/>
      <c r="AD207" s="198"/>
      <c r="AE207" s="198"/>
      <c r="AF207" s="198"/>
      <c r="AG207" s="198"/>
    </row>
    <row r="208" ht="15.75" customHeight="1">
      <c r="A208" s="198"/>
      <c r="B208" s="198"/>
      <c r="C208" s="198"/>
      <c r="D208" s="198"/>
      <c r="E208" s="198"/>
      <c r="F208" s="198"/>
      <c r="G208" s="198"/>
      <c r="H208" s="199"/>
      <c r="I208" s="199"/>
      <c r="J208" s="199"/>
      <c r="K208" s="199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  <c r="AA208" s="198"/>
      <c r="AB208" s="198"/>
      <c r="AC208" s="198"/>
      <c r="AD208" s="198"/>
      <c r="AE208" s="198"/>
      <c r="AF208" s="198"/>
      <c r="AG208" s="198"/>
    </row>
    <row r="209" ht="15.75" customHeight="1">
      <c r="A209" s="198"/>
      <c r="B209" s="198"/>
      <c r="C209" s="198"/>
      <c r="D209" s="198"/>
      <c r="E209" s="198"/>
      <c r="F209" s="198"/>
      <c r="G209" s="198"/>
      <c r="H209" s="199"/>
      <c r="I209" s="199"/>
      <c r="J209" s="199"/>
      <c r="K209" s="199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  <c r="AA209" s="198"/>
      <c r="AB209" s="198"/>
      <c r="AC209" s="198"/>
      <c r="AD209" s="198"/>
      <c r="AE209" s="198"/>
      <c r="AF209" s="198"/>
      <c r="AG209" s="198"/>
    </row>
    <row r="210" ht="15.75" customHeight="1">
      <c r="A210" s="198"/>
      <c r="B210" s="198"/>
      <c r="C210" s="198"/>
      <c r="D210" s="198"/>
      <c r="E210" s="198"/>
      <c r="F210" s="198"/>
      <c r="G210" s="198"/>
      <c r="H210" s="199"/>
      <c r="I210" s="199"/>
      <c r="J210" s="199"/>
      <c r="K210" s="199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  <c r="AA210" s="198"/>
      <c r="AB210" s="198"/>
      <c r="AC210" s="198"/>
      <c r="AD210" s="198"/>
      <c r="AE210" s="198"/>
      <c r="AF210" s="198"/>
      <c r="AG210" s="198"/>
    </row>
    <row r="211" ht="15.75" customHeight="1">
      <c r="A211" s="198"/>
      <c r="B211" s="198"/>
      <c r="C211" s="198"/>
      <c r="D211" s="198"/>
      <c r="E211" s="198"/>
      <c r="F211" s="198"/>
      <c r="G211" s="198"/>
      <c r="H211" s="199"/>
      <c r="I211" s="199"/>
      <c r="J211" s="199"/>
      <c r="K211" s="199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  <c r="AA211" s="198"/>
      <c r="AB211" s="198"/>
      <c r="AC211" s="198"/>
      <c r="AD211" s="198"/>
      <c r="AE211" s="198"/>
      <c r="AF211" s="198"/>
      <c r="AG211" s="198"/>
    </row>
    <row r="212" ht="15.75" customHeight="1">
      <c r="A212" s="198"/>
      <c r="B212" s="198"/>
      <c r="C212" s="198"/>
      <c r="D212" s="198"/>
      <c r="E212" s="198"/>
      <c r="F212" s="198"/>
      <c r="G212" s="198"/>
      <c r="H212" s="199"/>
      <c r="I212" s="199"/>
      <c r="J212" s="199"/>
      <c r="K212" s="199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  <c r="AA212" s="198"/>
      <c r="AB212" s="198"/>
      <c r="AC212" s="198"/>
      <c r="AD212" s="198"/>
      <c r="AE212" s="198"/>
      <c r="AF212" s="198"/>
      <c r="AG212" s="198"/>
    </row>
    <row r="213" ht="15.75" customHeight="1">
      <c r="A213" s="198"/>
      <c r="B213" s="198"/>
      <c r="C213" s="198"/>
      <c r="D213" s="198"/>
      <c r="E213" s="198"/>
      <c r="F213" s="198"/>
      <c r="G213" s="198"/>
      <c r="H213" s="199"/>
      <c r="I213" s="199"/>
      <c r="J213" s="199"/>
      <c r="K213" s="199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  <c r="AA213" s="198"/>
      <c r="AB213" s="198"/>
      <c r="AC213" s="198"/>
      <c r="AD213" s="198"/>
      <c r="AE213" s="198"/>
      <c r="AF213" s="198"/>
      <c r="AG213" s="198"/>
    </row>
    <row r="214" ht="15.75" customHeight="1">
      <c r="A214" s="198"/>
      <c r="B214" s="198"/>
      <c r="C214" s="198"/>
      <c r="D214" s="198"/>
      <c r="E214" s="198"/>
      <c r="F214" s="198"/>
      <c r="G214" s="198"/>
      <c r="H214" s="199"/>
      <c r="I214" s="199"/>
      <c r="J214" s="199"/>
      <c r="K214" s="199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  <c r="AA214" s="198"/>
      <c r="AB214" s="198"/>
      <c r="AC214" s="198"/>
      <c r="AD214" s="198"/>
      <c r="AE214" s="198"/>
      <c r="AF214" s="198"/>
      <c r="AG214" s="198"/>
    </row>
    <row r="215" ht="15.75" customHeight="1">
      <c r="A215" s="198"/>
      <c r="B215" s="198"/>
      <c r="C215" s="198"/>
      <c r="D215" s="198"/>
      <c r="E215" s="198"/>
      <c r="F215" s="198"/>
      <c r="G215" s="198"/>
      <c r="H215" s="199"/>
      <c r="I215" s="199"/>
      <c r="J215" s="199"/>
      <c r="K215" s="199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  <c r="AA215" s="198"/>
      <c r="AB215" s="198"/>
      <c r="AC215" s="198"/>
      <c r="AD215" s="198"/>
      <c r="AE215" s="198"/>
      <c r="AF215" s="198"/>
      <c r="AG215" s="198"/>
    </row>
    <row r="216" ht="15.75" customHeight="1">
      <c r="A216" s="198"/>
      <c r="B216" s="198"/>
      <c r="C216" s="198"/>
      <c r="D216" s="198"/>
      <c r="E216" s="198"/>
      <c r="F216" s="198"/>
      <c r="G216" s="198"/>
      <c r="H216" s="199"/>
      <c r="I216" s="199"/>
      <c r="J216" s="199"/>
      <c r="K216" s="199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  <c r="AA216" s="198"/>
      <c r="AB216" s="198"/>
      <c r="AC216" s="198"/>
      <c r="AD216" s="198"/>
      <c r="AE216" s="198"/>
      <c r="AF216" s="198"/>
      <c r="AG216" s="198"/>
    </row>
    <row r="217" ht="15.75" customHeight="1">
      <c r="A217" s="198"/>
      <c r="B217" s="198"/>
      <c r="C217" s="198"/>
      <c r="D217" s="198"/>
      <c r="E217" s="198"/>
      <c r="F217" s="198"/>
      <c r="G217" s="198"/>
      <c r="H217" s="199"/>
      <c r="I217" s="199"/>
      <c r="J217" s="199"/>
      <c r="K217" s="199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</row>
    <row r="218" ht="15.75" customHeight="1">
      <c r="A218" s="198"/>
      <c r="B218" s="198"/>
      <c r="C218" s="198"/>
      <c r="D218" s="198"/>
      <c r="E218" s="198"/>
      <c r="F218" s="198"/>
      <c r="G218" s="198"/>
      <c r="H218" s="199"/>
      <c r="I218" s="199"/>
      <c r="J218" s="199"/>
      <c r="K218" s="199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  <c r="AA218" s="198"/>
      <c r="AB218" s="198"/>
      <c r="AC218" s="198"/>
      <c r="AD218" s="198"/>
      <c r="AE218" s="198"/>
      <c r="AF218" s="198"/>
      <c r="AG218" s="198"/>
    </row>
    <row r="219" ht="15.75" customHeight="1">
      <c r="A219" s="198"/>
      <c r="B219" s="198"/>
      <c r="C219" s="198"/>
      <c r="D219" s="198"/>
      <c r="E219" s="198"/>
      <c r="F219" s="198"/>
      <c r="G219" s="198"/>
      <c r="H219" s="199"/>
      <c r="I219" s="199"/>
      <c r="J219" s="199"/>
      <c r="K219" s="199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  <c r="AA219" s="198"/>
      <c r="AB219" s="198"/>
      <c r="AC219" s="198"/>
      <c r="AD219" s="198"/>
      <c r="AE219" s="198"/>
      <c r="AF219" s="198"/>
      <c r="AG219" s="198"/>
    </row>
    <row r="220" ht="15.75" customHeight="1">
      <c r="A220" s="198"/>
      <c r="B220" s="198"/>
      <c r="C220" s="198"/>
      <c r="D220" s="198"/>
      <c r="E220" s="198"/>
      <c r="F220" s="198"/>
      <c r="G220" s="198"/>
      <c r="H220" s="199"/>
      <c r="I220" s="199"/>
      <c r="J220" s="199"/>
      <c r="K220" s="199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  <c r="AA220" s="198"/>
      <c r="AB220" s="198"/>
      <c r="AC220" s="198"/>
      <c r="AD220" s="198"/>
      <c r="AE220" s="198"/>
      <c r="AF220" s="198"/>
      <c r="AG220" s="198"/>
    </row>
    <row r="221" ht="15.75" customHeight="1">
      <c r="A221" s="198"/>
      <c r="B221" s="198"/>
      <c r="C221" s="198"/>
      <c r="D221" s="198"/>
      <c r="E221" s="198"/>
      <c r="F221" s="198"/>
      <c r="G221" s="198"/>
      <c r="H221" s="199"/>
      <c r="I221" s="199"/>
      <c r="J221" s="199"/>
      <c r="K221" s="199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  <c r="AA221" s="198"/>
      <c r="AB221" s="198"/>
      <c r="AC221" s="198"/>
      <c r="AD221" s="198"/>
      <c r="AE221" s="198"/>
      <c r="AF221" s="198"/>
      <c r="AG221" s="198"/>
    </row>
    <row r="222" ht="15.75" customHeight="1">
      <c r="A222" s="198"/>
      <c r="B222" s="198"/>
      <c r="C222" s="198"/>
      <c r="D222" s="198"/>
      <c r="E222" s="198"/>
      <c r="F222" s="198"/>
      <c r="G222" s="198"/>
      <c r="H222" s="199"/>
      <c r="I222" s="199"/>
      <c r="J222" s="199"/>
      <c r="K222" s="199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  <c r="AA222" s="198"/>
      <c r="AB222" s="198"/>
      <c r="AC222" s="198"/>
      <c r="AD222" s="198"/>
      <c r="AE222" s="198"/>
      <c r="AF222" s="198"/>
      <c r="AG222" s="198"/>
    </row>
    <row r="223" ht="15.75" customHeight="1">
      <c r="A223" s="198"/>
      <c r="B223" s="198"/>
      <c r="C223" s="198"/>
      <c r="D223" s="198"/>
      <c r="E223" s="198"/>
      <c r="F223" s="198"/>
      <c r="G223" s="198"/>
      <c r="H223" s="199"/>
      <c r="I223" s="199"/>
      <c r="J223" s="199"/>
      <c r="K223" s="199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</row>
    <row r="224" ht="15.75" customHeight="1">
      <c r="A224" s="198"/>
      <c r="B224" s="198"/>
      <c r="C224" s="198"/>
      <c r="D224" s="198"/>
      <c r="E224" s="198"/>
      <c r="F224" s="198"/>
      <c r="G224" s="198"/>
      <c r="H224" s="199"/>
      <c r="I224" s="199"/>
      <c r="J224" s="199"/>
      <c r="K224" s="199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  <c r="AA224" s="198"/>
      <c r="AB224" s="198"/>
      <c r="AC224" s="198"/>
      <c r="AD224" s="198"/>
      <c r="AE224" s="198"/>
      <c r="AF224" s="198"/>
      <c r="AG224" s="198"/>
    </row>
    <row r="225" ht="15.75" customHeight="1">
      <c r="A225" s="198"/>
      <c r="B225" s="198"/>
      <c r="C225" s="198"/>
      <c r="D225" s="198"/>
      <c r="E225" s="198"/>
      <c r="F225" s="198"/>
      <c r="G225" s="198"/>
      <c r="H225" s="199"/>
      <c r="I225" s="199"/>
      <c r="J225" s="199"/>
      <c r="K225" s="199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</row>
    <row r="226" ht="15.75" customHeight="1">
      <c r="A226" s="198"/>
      <c r="B226" s="198"/>
      <c r="C226" s="198"/>
      <c r="D226" s="198"/>
      <c r="E226" s="198"/>
      <c r="F226" s="198"/>
      <c r="G226" s="198"/>
      <c r="H226" s="199"/>
      <c r="I226" s="199"/>
      <c r="J226" s="199"/>
      <c r="K226" s="199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  <c r="AA226" s="198"/>
      <c r="AB226" s="198"/>
      <c r="AC226" s="198"/>
      <c r="AD226" s="198"/>
      <c r="AE226" s="198"/>
      <c r="AF226" s="198"/>
      <c r="AG226" s="198"/>
    </row>
    <row r="227" ht="15.75" customHeight="1">
      <c r="A227" s="198"/>
      <c r="B227" s="198"/>
      <c r="C227" s="198"/>
      <c r="D227" s="198"/>
      <c r="E227" s="198"/>
      <c r="F227" s="198"/>
      <c r="G227" s="198"/>
      <c r="H227" s="199"/>
      <c r="I227" s="199"/>
      <c r="J227" s="199"/>
      <c r="K227" s="199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  <c r="AA227" s="198"/>
      <c r="AB227" s="198"/>
      <c r="AC227" s="198"/>
      <c r="AD227" s="198"/>
      <c r="AE227" s="198"/>
      <c r="AF227" s="198"/>
      <c r="AG227" s="198"/>
    </row>
    <row r="228" ht="15.75" customHeight="1">
      <c r="A228" s="198"/>
      <c r="B228" s="198"/>
      <c r="C228" s="198"/>
      <c r="D228" s="198"/>
      <c r="E228" s="198"/>
      <c r="F228" s="198"/>
      <c r="G228" s="198"/>
      <c r="H228" s="199"/>
      <c r="I228" s="199"/>
      <c r="J228" s="199"/>
      <c r="K228" s="199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  <c r="AA228" s="198"/>
      <c r="AB228" s="198"/>
      <c r="AC228" s="198"/>
      <c r="AD228" s="198"/>
      <c r="AE228" s="198"/>
      <c r="AF228" s="198"/>
      <c r="AG228" s="198"/>
    </row>
    <row r="229" ht="15.75" customHeight="1">
      <c r="A229" s="198"/>
      <c r="B229" s="198"/>
      <c r="C229" s="198"/>
      <c r="D229" s="198"/>
      <c r="E229" s="198"/>
      <c r="F229" s="198"/>
      <c r="G229" s="198"/>
      <c r="H229" s="199"/>
      <c r="I229" s="199"/>
      <c r="J229" s="199"/>
      <c r="K229" s="199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8"/>
      <c r="AA229" s="198"/>
      <c r="AB229" s="198"/>
      <c r="AC229" s="198"/>
      <c r="AD229" s="198"/>
      <c r="AE229" s="198"/>
      <c r="AF229" s="198"/>
      <c r="AG229" s="198"/>
    </row>
    <row r="230" ht="15.75" customHeight="1">
      <c r="A230" s="198"/>
      <c r="B230" s="198"/>
      <c r="C230" s="198"/>
      <c r="D230" s="198"/>
      <c r="E230" s="198"/>
      <c r="F230" s="198"/>
      <c r="G230" s="198"/>
      <c r="H230" s="199"/>
      <c r="I230" s="199"/>
      <c r="J230" s="199"/>
      <c r="K230" s="199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  <c r="AA230" s="198"/>
      <c r="AB230" s="198"/>
      <c r="AC230" s="198"/>
      <c r="AD230" s="198"/>
      <c r="AE230" s="198"/>
      <c r="AF230" s="198"/>
      <c r="AG230" s="198"/>
    </row>
    <row r="231" ht="15.75" customHeight="1">
      <c r="A231" s="198"/>
      <c r="B231" s="198"/>
      <c r="C231" s="198"/>
      <c r="D231" s="198"/>
      <c r="E231" s="198"/>
      <c r="F231" s="198"/>
      <c r="G231" s="198"/>
      <c r="H231" s="199"/>
      <c r="I231" s="199"/>
      <c r="J231" s="199"/>
      <c r="K231" s="199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</row>
    <row r="232" ht="15.75" customHeight="1">
      <c r="A232" s="198"/>
      <c r="B232" s="198"/>
      <c r="C232" s="198"/>
      <c r="D232" s="198"/>
      <c r="E232" s="198"/>
      <c r="F232" s="198"/>
      <c r="G232" s="198"/>
      <c r="H232" s="199"/>
      <c r="I232" s="199"/>
      <c r="J232" s="199"/>
      <c r="K232" s="199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8"/>
      <c r="AA232" s="198"/>
      <c r="AB232" s="198"/>
      <c r="AC232" s="198"/>
      <c r="AD232" s="198"/>
      <c r="AE232" s="198"/>
      <c r="AF232" s="198"/>
      <c r="AG232" s="198"/>
    </row>
    <row r="233" ht="15.75" customHeight="1">
      <c r="A233" s="198"/>
      <c r="B233" s="198"/>
      <c r="C233" s="198"/>
      <c r="D233" s="198"/>
      <c r="E233" s="198"/>
      <c r="F233" s="198"/>
      <c r="G233" s="198"/>
      <c r="H233" s="199"/>
      <c r="I233" s="199"/>
      <c r="J233" s="199"/>
      <c r="K233" s="199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8"/>
      <c r="AA233" s="198"/>
      <c r="AB233" s="198"/>
      <c r="AC233" s="198"/>
      <c r="AD233" s="198"/>
      <c r="AE233" s="198"/>
      <c r="AF233" s="198"/>
      <c r="AG233" s="198"/>
    </row>
    <row r="234" ht="15.75" customHeight="1">
      <c r="A234" s="198"/>
      <c r="B234" s="198"/>
      <c r="C234" s="198"/>
      <c r="D234" s="198"/>
      <c r="E234" s="198"/>
      <c r="F234" s="198"/>
      <c r="G234" s="198"/>
      <c r="H234" s="199"/>
      <c r="I234" s="199"/>
      <c r="J234" s="199"/>
      <c r="K234" s="199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</row>
    <row r="235" ht="15.75" customHeight="1">
      <c r="A235" s="198"/>
      <c r="B235" s="198"/>
      <c r="C235" s="198"/>
      <c r="D235" s="198"/>
      <c r="E235" s="198"/>
      <c r="F235" s="198"/>
      <c r="G235" s="198"/>
      <c r="H235" s="199"/>
      <c r="I235" s="199"/>
      <c r="J235" s="199"/>
      <c r="K235" s="199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  <c r="AA235" s="198"/>
      <c r="AB235" s="198"/>
      <c r="AC235" s="198"/>
      <c r="AD235" s="198"/>
      <c r="AE235" s="198"/>
      <c r="AF235" s="198"/>
      <c r="AG235" s="198"/>
    </row>
    <row r="236" ht="15.75" customHeight="1">
      <c r="A236" s="198"/>
      <c r="B236" s="198"/>
      <c r="C236" s="198"/>
      <c r="D236" s="198"/>
      <c r="E236" s="198"/>
      <c r="F236" s="198"/>
      <c r="G236" s="198"/>
      <c r="H236" s="199"/>
      <c r="I236" s="199"/>
      <c r="J236" s="199"/>
      <c r="K236" s="199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  <c r="AA236" s="198"/>
      <c r="AB236" s="198"/>
      <c r="AC236" s="198"/>
      <c r="AD236" s="198"/>
      <c r="AE236" s="198"/>
      <c r="AF236" s="198"/>
      <c r="AG236" s="198"/>
    </row>
    <row r="237" ht="15.75" customHeight="1">
      <c r="A237" s="198"/>
      <c r="B237" s="198"/>
      <c r="C237" s="198"/>
      <c r="D237" s="198"/>
      <c r="E237" s="198"/>
      <c r="F237" s="198"/>
      <c r="G237" s="198"/>
      <c r="H237" s="199"/>
      <c r="I237" s="199"/>
      <c r="J237" s="199"/>
      <c r="K237" s="199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</row>
    <row r="238" ht="15.75" customHeight="1">
      <c r="A238" s="198"/>
      <c r="B238" s="198"/>
      <c r="C238" s="198"/>
      <c r="D238" s="198"/>
      <c r="E238" s="198"/>
      <c r="F238" s="198"/>
      <c r="G238" s="198"/>
      <c r="H238" s="199"/>
      <c r="I238" s="199"/>
      <c r="J238" s="199"/>
      <c r="K238" s="199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  <c r="AA238" s="198"/>
      <c r="AB238" s="198"/>
      <c r="AC238" s="198"/>
      <c r="AD238" s="198"/>
      <c r="AE238" s="198"/>
      <c r="AF238" s="198"/>
      <c r="AG238" s="198"/>
    </row>
    <row r="239" ht="15.75" customHeight="1">
      <c r="A239" s="198"/>
      <c r="B239" s="198"/>
      <c r="C239" s="198"/>
      <c r="D239" s="198"/>
      <c r="E239" s="198"/>
      <c r="F239" s="198"/>
      <c r="G239" s="198"/>
      <c r="H239" s="199"/>
      <c r="I239" s="199"/>
      <c r="J239" s="199"/>
      <c r="K239" s="199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8"/>
      <c r="AA239" s="198"/>
      <c r="AB239" s="198"/>
      <c r="AC239" s="198"/>
      <c r="AD239" s="198"/>
      <c r="AE239" s="198"/>
      <c r="AF239" s="198"/>
      <c r="AG239" s="198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26">
    <mergeCell ref="N2:R2"/>
    <mergeCell ref="M4:R4"/>
    <mergeCell ref="M5:R5"/>
    <mergeCell ref="A1:B1"/>
    <mergeCell ref="C1:D1"/>
    <mergeCell ref="E1:M1"/>
    <mergeCell ref="N1:R1"/>
    <mergeCell ref="C2:D2"/>
    <mergeCell ref="E2:M2"/>
    <mergeCell ref="C3:R3"/>
    <mergeCell ref="A2:B2"/>
    <mergeCell ref="A3:B3"/>
    <mergeCell ref="A4:B4"/>
    <mergeCell ref="C4:D4"/>
    <mergeCell ref="E4:I4"/>
    <mergeCell ref="J4:L4"/>
    <mergeCell ref="A5:B5"/>
    <mergeCell ref="B38:D38"/>
    <mergeCell ref="B39:D39"/>
    <mergeCell ref="C5:D5"/>
    <mergeCell ref="E5:I5"/>
    <mergeCell ref="B25:D25"/>
    <mergeCell ref="B26:D26"/>
    <mergeCell ref="B27:D27"/>
    <mergeCell ref="B36:D36"/>
    <mergeCell ref="B37:D37"/>
  </mergeCells>
  <dataValidations>
    <dataValidation type="list" allowBlank="1" showInputMessage="1" showErrorMessage="1" prompt=" - " sqref="E37:T37">
      <formula1>"P,F"</formula1>
    </dataValidation>
    <dataValidation type="list" allowBlank="1" showInputMessage="1" showErrorMessage="1" prompt=" - " sqref="E8:T35">
      <formula1>"O"</formula1>
    </dataValidation>
    <dataValidation type="list" allowBlank="1" showInputMessage="1" showErrorMessage="1" prompt=" - " sqref="E36:T36">
      <formula1>"N,A,B"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9.25"/>
    <col customWidth="1" min="4" max="4" width="21.5"/>
    <col customWidth="1" min="5" max="21" width="4.88"/>
  </cols>
  <sheetData>
    <row r="1">
      <c r="A1" s="159" t="s">
        <v>195</v>
      </c>
      <c r="B1" s="160"/>
      <c r="C1" s="161" t="s">
        <v>196</v>
      </c>
      <c r="D1" s="162"/>
      <c r="E1" s="163" t="s">
        <v>197</v>
      </c>
      <c r="F1" s="160"/>
      <c r="G1" s="160"/>
      <c r="H1" s="160"/>
      <c r="I1" s="160"/>
      <c r="J1" s="160"/>
      <c r="K1" s="160"/>
      <c r="L1" s="160"/>
      <c r="M1" s="160"/>
      <c r="N1" s="164" t="s">
        <v>198</v>
      </c>
      <c r="O1" s="160"/>
      <c r="P1" s="160"/>
      <c r="Q1" s="160"/>
      <c r="R1" s="165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</row>
    <row r="2">
      <c r="A2" s="168" t="s">
        <v>199</v>
      </c>
      <c r="B2" s="169"/>
      <c r="C2" s="170" t="s">
        <v>159</v>
      </c>
      <c r="D2" s="169"/>
      <c r="E2" s="171" t="s">
        <v>200</v>
      </c>
      <c r="F2" s="172"/>
      <c r="G2" s="172"/>
      <c r="H2" s="172"/>
      <c r="I2" s="172"/>
      <c r="J2" s="172"/>
      <c r="K2" s="172"/>
      <c r="L2" s="172"/>
      <c r="M2" s="173"/>
      <c r="N2" s="174" t="s">
        <v>159</v>
      </c>
      <c r="O2" s="172"/>
      <c r="P2" s="172"/>
      <c r="Q2" s="172"/>
      <c r="R2" s="175"/>
      <c r="S2" s="178"/>
      <c r="T2" s="178"/>
      <c r="U2" s="178"/>
      <c r="V2" s="260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</row>
    <row r="3">
      <c r="A3" s="179" t="s">
        <v>201</v>
      </c>
      <c r="B3" s="17"/>
      <c r="C3" s="180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81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</row>
    <row r="4">
      <c r="A4" s="183" t="s">
        <v>164</v>
      </c>
      <c r="B4" s="17"/>
      <c r="C4" s="184" t="s">
        <v>165</v>
      </c>
      <c r="D4" s="17"/>
      <c r="E4" s="184" t="s">
        <v>166</v>
      </c>
      <c r="F4" s="16"/>
      <c r="G4" s="16"/>
      <c r="H4" s="16"/>
      <c r="I4" s="16"/>
      <c r="J4" s="185" t="s">
        <v>202</v>
      </c>
      <c r="K4" s="16"/>
      <c r="L4" s="16"/>
      <c r="M4" s="184" t="s">
        <v>169</v>
      </c>
      <c r="N4" s="16"/>
      <c r="O4" s="16"/>
      <c r="P4" s="16"/>
      <c r="Q4" s="16"/>
      <c r="R4" s="181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</row>
    <row r="5">
      <c r="A5" s="188">
        <f>COUNTIF(E27:IA27,"P")</f>
        <v>5</v>
      </c>
      <c r="B5" s="189"/>
      <c r="C5" s="190">
        <f>COUNTIF(E27:IA27,"F")</f>
        <v>0</v>
      </c>
      <c r="D5" s="189"/>
      <c r="E5" s="191">
        <f>SUM(M5,-A5,-C5)</f>
        <v>3</v>
      </c>
      <c r="F5" s="192"/>
      <c r="G5" s="192"/>
      <c r="H5" s="192"/>
      <c r="I5" s="192"/>
      <c r="J5" s="193">
        <f>COUNTIF(A26:HW26,"N")</f>
        <v>2</v>
      </c>
      <c r="K5" s="193">
        <f>COUNTIF(B26:HX26,"A")</f>
        <v>3</v>
      </c>
      <c r="L5" s="193">
        <f>COUNTIF(C26:HY26,"B")</f>
        <v>0</v>
      </c>
      <c r="M5" s="190">
        <f>COUNTA(A7:HO7)</f>
        <v>8</v>
      </c>
      <c r="N5" s="192"/>
      <c r="O5" s="192"/>
      <c r="P5" s="192"/>
      <c r="Q5" s="192"/>
      <c r="R5" s="194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</row>
    <row r="6">
      <c r="A6" s="198"/>
      <c r="B6" s="198"/>
      <c r="C6" s="198"/>
      <c r="D6" s="198"/>
      <c r="E6" s="198"/>
      <c r="F6" s="198"/>
      <c r="G6" s="199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</row>
    <row r="7" ht="48.0" customHeight="1">
      <c r="A7" s="200"/>
      <c r="B7" s="201"/>
      <c r="C7" s="201"/>
      <c r="D7" s="201"/>
      <c r="E7" s="202" t="s">
        <v>203</v>
      </c>
      <c r="F7" s="202" t="s">
        <v>204</v>
      </c>
      <c r="G7" s="202" t="s">
        <v>205</v>
      </c>
      <c r="H7" s="202" t="s">
        <v>206</v>
      </c>
      <c r="I7" s="202" t="s">
        <v>207</v>
      </c>
      <c r="J7" s="202" t="s">
        <v>208</v>
      </c>
      <c r="K7" s="202" t="s">
        <v>209</v>
      </c>
      <c r="L7" s="202" t="s">
        <v>210</v>
      </c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261"/>
      <c r="X7" s="198"/>
      <c r="Y7" s="198"/>
      <c r="Z7" s="198"/>
      <c r="AA7" s="198"/>
      <c r="AB7" s="203"/>
      <c r="AC7" s="203"/>
      <c r="AD7" s="203"/>
      <c r="AE7" s="203"/>
      <c r="AF7" s="203"/>
      <c r="AG7" s="203"/>
      <c r="AH7" s="203"/>
    </row>
    <row r="8">
      <c r="A8" s="204" t="s">
        <v>219</v>
      </c>
      <c r="B8" s="205" t="s">
        <v>220</v>
      </c>
      <c r="C8" s="262"/>
      <c r="D8" s="263"/>
      <c r="E8" s="264"/>
      <c r="F8" s="264"/>
      <c r="G8" s="209"/>
      <c r="H8" s="264"/>
      <c r="I8" s="264"/>
      <c r="J8" s="264"/>
      <c r="K8" s="264"/>
      <c r="L8" s="264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9"/>
      <c r="X8" s="199"/>
      <c r="Y8" s="199"/>
      <c r="Z8" s="199"/>
      <c r="AA8" s="199"/>
      <c r="AB8" s="265"/>
      <c r="AC8" s="265"/>
      <c r="AD8" s="265"/>
      <c r="AE8" s="265"/>
      <c r="AF8" s="265"/>
      <c r="AG8" s="265"/>
      <c r="AH8" s="265"/>
    </row>
    <row r="9">
      <c r="A9" s="266"/>
      <c r="B9" s="267"/>
      <c r="C9" s="268"/>
      <c r="D9" s="213" t="s">
        <v>221</v>
      </c>
      <c r="E9" s="214" t="s">
        <v>222</v>
      </c>
      <c r="F9" s="214" t="s">
        <v>222</v>
      </c>
      <c r="G9" s="214" t="s">
        <v>222</v>
      </c>
      <c r="H9" s="214" t="s">
        <v>222</v>
      </c>
      <c r="I9" s="214" t="s">
        <v>222</v>
      </c>
      <c r="J9" s="214"/>
      <c r="K9" s="214"/>
      <c r="L9" s="214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269"/>
      <c r="X9" s="199"/>
      <c r="Y9" s="199"/>
      <c r="Z9" s="199"/>
      <c r="AA9" s="199"/>
      <c r="AB9" s="265"/>
      <c r="AC9" s="265"/>
      <c r="AD9" s="265"/>
      <c r="AE9" s="265"/>
      <c r="AF9" s="265"/>
      <c r="AG9" s="265"/>
      <c r="AH9" s="265"/>
    </row>
    <row r="10">
      <c r="A10" s="270"/>
      <c r="B10" s="221" t="s">
        <v>223</v>
      </c>
      <c r="C10" s="271"/>
      <c r="D10" s="213"/>
      <c r="E10" s="272"/>
      <c r="F10" s="224"/>
      <c r="G10" s="224"/>
      <c r="H10" s="272"/>
      <c r="I10" s="272"/>
      <c r="J10" s="272"/>
      <c r="K10" s="272"/>
      <c r="L10" s="272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9"/>
      <c r="X10" s="199"/>
      <c r="Y10" s="199"/>
      <c r="Z10" s="199"/>
      <c r="AA10" s="199"/>
      <c r="AB10" s="199"/>
      <c r="AC10" s="265"/>
      <c r="AD10" s="265"/>
      <c r="AE10" s="265"/>
      <c r="AF10" s="265"/>
      <c r="AG10" s="265"/>
      <c r="AH10" s="265"/>
    </row>
    <row r="11">
      <c r="A11" s="210"/>
      <c r="B11" s="211"/>
      <c r="C11" s="217" t="s">
        <v>224</v>
      </c>
      <c r="D11" s="218" t="s">
        <v>225</v>
      </c>
      <c r="E11" s="214" t="s">
        <v>222</v>
      </c>
      <c r="F11" s="214"/>
      <c r="G11" s="209"/>
      <c r="H11" s="209"/>
      <c r="I11" s="209"/>
      <c r="J11" s="209"/>
      <c r="K11" s="209"/>
      <c r="L11" s="20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9"/>
      <c r="X11" s="198"/>
      <c r="Y11" s="198"/>
      <c r="Z11" s="198"/>
      <c r="AA11" s="198"/>
      <c r="AB11" s="203"/>
      <c r="AC11" s="203"/>
      <c r="AD11" s="203"/>
      <c r="AE11" s="203"/>
      <c r="AF11" s="265"/>
      <c r="AG11" s="265"/>
      <c r="AH11" s="265"/>
    </row>
    <row r="12">
      <c r="A12" s="210"/>
      <c r="B12" s="211"/>
      <c r="C12" s="217" t="s">
        <v>255</v>
      </c>
      <c r="D12" s="218" t="s">
        <v>256</v>
      </c>
      <c r="E12" s="208"/>
      <c r="F12" s="209" t="s">
        <v>222</v>
      </c>
      <c r="G12" s="214"/>
      <c r="H12" s="214"/>
      <c r="I12" s="214"/>
      <c r="J12" s="214"/>
      <c r="K12" s="208"/>
      <c r="L12" s="209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9"/>
      <c r="X12" s="198"/>
      <c r="Y12" s="198"/>
      <c r="Z12" s="198"/>
      <c r="AA12" s="198"/>
      <c r="AB12" s="203"/>
      <c r="AC12" s="203"/>
      <c r="AD12" s="203"/>
      <c r="AE12" s="203"/>
      <c r="AF12" s="265"/>
      <c r="AG12" s="265"/>
      <c r="AH12" s="265"/>
    </row>
    <row r="13">
      <c r="A13" s="210"/>
      <c r="B13" s="211"/>
      <c r="C13" s="217" t="s">
        <v>226</v>
      </c>
      <c r="D13" s="213"/>
      <c r="E13" s="208"/>
      <c r="F13" s="208"/>
      <c r="G13" s="214" t="s">
        <v>222</v>
      </c>
      <c r="H13" s="214"/>
      <c r="I13" s="214"/>
      <c r="J13" s="214"/>
      <c r="K13" s="208"/>
      <c r="L13" s="20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9"/>
      <c r="X13" s="198"/>
      <c r="Y13" s="198"/>
      <c r="Z13" s="198"/>
      <c r="AA13" s="198"/>
      <c r="AB13" s="203"/>
      <c r="AC13" s="203"/>
      <c r="AD13" s="203"/>
      <c r="AE13" s="203"/>
      <c r="AF13" s="265"/>
      <c r="AG13" s="265"/>
      <c r="AH13" s="265"/>
    </row>
    <row r="14">
      <c r="A14" s="210"/>
      <c r="B14" s="211"/>
      <c r="C14" s="217" t="s">
        <v>229</v>
      </c>
      <c r="D14" s="213" t="s">
        <v>230</v>
      </c>
      <c r="E14" s="208"/>
      <c r="F14" s="208"/>
      <c r="G14" s="208"/>
      <c r="H14" s="209" t="s">
        <v>222</v>
      </c>
      <c r="I14" s="209"/>
      <c r="J14" s="209"/>
      <c r="K14" s="214"/>
      <c r="L14" s="20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9"/>
      <c r="X14" s="198"/>
      <c r="Y14" s="198"/>
      <c r="Z14" s="198"/>
      <c r="AA14" s="198"/>
      <c r="AB14" s="203"/>
      <c r="AC14" s="203"/>
      <c r="AD14" s="203"/>
      <c r="AE14" s="203"/>
      <c r="AF14" s="265"/>
      <c r="AG14" s="265"/>
      <c r="AH14" s="265"/>
    </row>
    <row r="15">
      <c r="A15" s="220"/>
      <c r="B15" s="211"/>
      <c r="C15" s="217" t="s">
        <v>231</v>
      </c>
      <c r="D15" s="213"/>
      <c r="E15" s="222"/>
      <c r="F15" s="222"/>
      <c r="G15" s="222"/>
      <c r="H15" s="222"/>
      <c r="I15" s="223" t="s">
        <v>222</v>
      </c>
      <c r="J15" s="222"/>
      <c r="K15" s="222"/>
      <c r="L15" s="222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9"/>
      <c r="X15" s="198"/>
      <c r="Y15" s="198"/>
      <c r="Z15" s="198"/>
      <c r="AA15" s="198"/>
      <c r="AB15" s="203"/>
      <c r="AC15" s="203"/>
      <c r="AD15" s="203"/>
      <c r="AE15" s="203"/>
      <c r="AF15" s="265"/>
      <c r="AG15" s="265"/>
      <c r="AH15" s="265"/>
    </row>
    <row r="16">
      <c r="A16" s="226" t="s">
        <v>238</v>
      </c>
      <c r="B16" s="227" t="s">
        <v>239</v>
      </c>
      <c r="C16" s="228"/>
      <c r="D16" s="229"/>
      <c r="E16" s="272"/>
      <c r="F16" s="272"/>
      <c r="G16" s="223"/>
      <c r="H16" s="272"/>
      <c r="I16" s="272"/>
      <c r="J16" s="272"/>
      <c r="K16" s="272"/>
      <c r="L16" s="272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9"/>
      <c r="X16" s="199"/>
      <c r="Y16" s="199"/>
      <c r="Z16" s="199"/>
      <c r="AA16" s="199"/>
      <c r="AB16" s="265"/>
      <c r="AC16" s="265"/>
      <c r="AD16" s="265"/>
      <c r="AE16" s="265"/>
      <c r="AF16" s="265"/>
      <c r="AG16" s="265"/>
      <c r="AH16" s="265"/>
    </row>
    <row r="17">
      <c r="A17" s="273"/>
      <c r="B17" s="231"/>
      <c r="C17" s="228"/>
      <c r="D17" s="232" t="b">
        <v>1</v>
      </c>
      <c r="E17" s="214" t="s">
        <v>222</v>
      </c>
      <c r="F17" s="209"/>
      <c r="G17" s="209"/>
      <c r="H17" s="264"/>
      <c r="I17" s="264"/>
      <c r="J17" s="264"/>
      <c r="K17" s="264"/>
      <c r="L17" s="209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9"/>
      <c r="X17" s="199"/>
      <c r="Y17" s="199"/>
      <c r="Z17" s="199"/>
      <c r="AA17" s="199"/>
      <c r="AB17" s="265"/>
      <c r="AC17" s="265"/>
      <c r="AD17" s="265"/>
      <c r="AE17" s="265"/>
      <c r="AF17" s="265"/>
      <c r="AG17" s="265"/>
      <c r="AH17" s="265"/>
    </row>
    <row r="18" ht="15.75" customHeight="1">
      <c r="A18" s="273"/>
      <c r="B18" s="234"/>
      <c r="C18" s="235"/>
      <c r="D18" s="232" t="b">
        <v>0</v>
      </c>
      <c r="E18" s="274"/>
      <c r="F18" s="275" t="s">
        <v>222</v>
      </c>
      <c r="G18" s="276" t="s">
        <v>222</v>
      </c>
      <c r="H18" s="276" t="s">
        <v>222</v>
      </c>
      <c r="I18" s="276" t="s">
        <v>222</v>
      </c>
      <c r="J18" s="276"/>
      <c r="K18" s="276"/>
      <c r="L18" s="276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9"/>
      <c r="X18" s="199"/>
      <c r="Y18" s="199"/>
      <c r="Z18" s="199"/>
      <c r="AA18" s="199"/>
      <c r="AB18" s="265"/>
      <c r="AC18" s="265"/>
      <c r="AD18" s="265"/>
      <c r="AE18" s="265"/>
      <c r="AF18" s="265"/>
      <c r="AG18" s="265"/>
      <c r="AH18" s="265"/>
    </row>
    <row r="19" ht="15.75" customHeight="1">
      <c r="A19" s="273"/>
      <c r="B19" s="236" t="s">
        <v>240</v>
      </c>
      <c r="C19" s="277"/>
      <c r="D19" s="278"/>
      <c r="E19" s="279"/>
      <c r="F19" s="272"/>
      <c r="G19" s="223"/>
      <c r="H19" s="272"/>
      <c r="I19" s="272"/>
      <c r="J19" s="272"/>
      <c r="K19" s="272"/>
      <c r="L19" s="272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9"/>
      <c r="X19" s="199"/>
      <c r="Y19" s="199"/>
      <c r="Z19" s="199"/>
      <c r="AA19" s="199"/>
      <c r="AB19" s="265"/>
      <c r="AC19" s="265"/>
      <c r="AD19" s="265"/>
      <c r="AE19" s="265"/>
      <c r="AF19" s="265"/>
      <c r="AG19" s="265"/>
      <c r="AH19" s="265"/>
    </row>
    <row r="20" ht="15.75" customHeight="1">
      <c r="A20" s="273"/>
      <c r="B20" s="237"/>
      <c r="C20" s="280"/>
      <c r="D20" s="281"/>
      <c r="E20" s="279"/>
      <c r="F20" s="272"/>
      <c r="G20" s="223"/>
      <c r="H20" s="272"/>
      <c r="I20" s="272"/>
      <c r="J20" s="272"/>
      <c r="K20" s="272"/>
      <c r="L20" s="272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9"/>
      <c r="X20" s="199"/>
      <c r="Y20" s="199"/>
      <c r="Z20" s="199"/>
      <c r="AA20" s="199"/>
      <c r="AB20" s="265"/>
      <c r="AC20" s="265"/>
      <c r="AD20" s="265"/>
      <c r="AE20" s="265"/>
      <c r="AF20" s="265"/>
      <c r="AG20" s="265"/>
      <c r="AH20" s="265"/>
    </row>
    <row r="21" ht="15.75" customHeight="1">
      <c r="A21" s="273"/>
      <c r="B21" s="238"/>
      <c r="C21" s="16"/>
      <c r="D21" s="17"/>
      <c r="E21" s="279"/>
      <c r="F21" s="272"/>
      <c r="G21" s="223"/>
      <c r="H21" s="272"/>
      <c r="I21" s="272"/>
      <c r="J21" s="272"/>
      <c r="K21" s="272"/>
      <c r="L21" s="272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9"/>
      <c r="X21" s="199"/>
      <c r="Y21" s="199"/>
      <c r="Z21" s="199"/>
      <c r="AA21" s="199"/>
      <c r="AB21" s="265"/>
      <c r="AC21" s="265"/>
      <c r="AD21" s="265"/>
      <c r="AE21" s="265"/>
      <c r="AF21" s="265"/>
      <c r="AG21" s="265"/>
      <c r="AH21" s="265"/>
    </row>
    <row r="22" ht="15.75" customHeight="1">
      <c r="A22" s="273"/>
      <c r="B22" s="227" t="s">
        <v>241</v>
      </c>
      <c r="C22" s="228"/>
      <c r="D22" s="229"/>
      <c r="E22" s="279"/>
      <c r="F22" s="272"/>
      <c r="G22" s="223"/>
      <c r="H22" s="272"/>
      <c r="I22" s="272"/>
      <c r="J22" s="272"/>
      <c r="K22" s="272"/>
      <c r="L22" s="272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9"/>
      <c r="X22" s="199"/>
      <c r="Y22" s="199"/>
      <c r="Z22" s="199"/>
      <c r="AA22" s="199"/>
      <c r="AB22" s="265"/>
      <c r="AC22" s="265"/>
      <c r="AD22" s="265"/>
      <c r="AE22" s="265"/>
      <c r="AF22" s="265"/>
      <c r="AG22" s="265"/>
      <c r="AH22" s="265"/>
    </row>
    <row r="23" ht="21.75" customHeight="1">
      <c r="A23" s="282"/>
      <c r="B23" s="283"/>
      <c r="C23" s="284"/>
      <c r="D23" s="285" t="s">
        <v>257</v>
      </c>
      <c r="E23" s="286" t="s">
        <v>222</v>
      </c>
      <c r="F23" s="223" t="s">
        <v>222</v>
      </c>
      <c r="G23" s="223"/>
      <c r="H23" s="224"/>
      <c r="I23" s="223"/>
      <c r="J23" s="224"/>
      <c r="K23" s="224"/>
      <c r="L23" s="223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9"/>
      <c r="X23" s="199"/>
      <c r="Y23" s="199"/>
      <c r="Z23" s="199"/>
      <c r="AA23" s="199"/>
      <c r="AB23" s="265"/>
      <c r="AC23" s="265"/>
      <c r="AD23" s="265"/>
      <c r="AE23" s="265"/>
      <c r="AF23" s="265"/>
      <c r="AG23" s="265"/>
      <c r="AH23" s="265"/>
    </row>
    <row r="24" ht="21.75" customHeight="1">
      <c r="A24" s="287"/>
      <c r="B24" s="288"/>
      <c r="C24" s="289"/>
      <c r="D24" s="290" t="s">
        <v>258</v>
      </c>
      <c r="E24" s="291"/>
      <c r="F24" s="209"/>
      <c r="G24" s="209"/>
      <c r="H24" s="214" t="s">
        <v>222</v>
      </c>
      <c r="I24" s="264"/>
      <c r="J24" s="214"/>
      <c r="K24" s="214"/>
      <c r="L24" s="264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9"/>
      <c r="X24" s="199"/>
      <c r="Y24" s="199"/>
      <c r="Z24" s="199"/>
      <c r="AA24" s="199"/>
      <c r="AB24" s="265"/>
      <c r="AC24" s="265"/>
      <c r="AD24" s="265"/>
      <c r="AE24" s="265"/>
      <c r="AF24" s="265"/>
      <c r="AG24" s="265"/>
      <c r="AH24" s="265"/>
    </row>
    <row r="25" ht="15.75" customHeight="1">
      <c r="A25" s="287"/>
      <c r="B25" s="288"/>
      <c r="C25" s="289"/>
      <c r="D25" s="290" t="s">
        <v>259</v>
      </c>
      <c r="E25" s="291"/>
      <c r="F25" s="264"/>
      <c r="G25" s="214" t="s">
        <v>222</v>
      </c>
      <c r="H25" s="264"/>
      <c r="I25" s="214" t="s">
        <v>222</v>
      </c>
      <c r="J25" s="264"/>
      <c r="K25" s="264"/>
      <c r="L25" s="264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9"/>
      <c r="X25" s="199"/>
      <c r="Y25" s="199"/>
      <c r="Z25" s="199"/>
      <c r="AA25" s="199"/>
      <c r="AB25" s="265"/>
      <c r="AC25" s="265"/>
      <c r="AD25" s="265"/>
      <c r="AE25" s="265"/>
      <c r="AF25" s="265"/>
      <c r="AG25" s="265"/>
      <c r="AH25" s="265"/>
    </row>
    <row r="26" ht="15.75" customHeight="1">
      <c r="A26" s="226" t="s">
        <v>249</v>
      </c>
      <c r="B26" s="245" t="s">
        <v>250</v>
      </c>
      <c r="C26" s="246"/>
      <c r="D26" s="247"/>
      <c r="E26" s="248" t="s">
        <v>167</v>
      </c>
      <c r="F26" s="248" t="s">
        <v>167</v>
      </c>
      <c r="G26" s="248" t="s">
        <v>62</v>
      </c>
      <c r="H26" s="248" t="s">
        <v>62</v>
      </c>
      <c r="I26" s="248" t="s">
        <v>62</v>
      </c>
      <c r="J26" s="248"/>
      <c r="K26" s="248"/>
      <c r="L26" s="24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203"/>
      <c r="AC26" s="203"/>
      <c r="AD26" s="203"/>
      <c r="AE26" s="203"/>
      <c r="AF26" s="203"/>
      <c r="AG26" s="203"/>
      <c r="AH26" s="203"/>
    </row>
    <row r="27" ht="15.75" customHeight="1">
      <c r="A27" s="241"/>
      <c r="B27" s="249" t="s">
        <v>251</v>
      </c>
      <c r="C27" s="16"/>
      <c r="D27" s="17"/>
      <c r="E27" s="250" t="s">
        <v>252</v>
      </c>
      <c r="F27" s="250" t="s">
        <v>252</v>
      </c>
      <c r="G27" s="250" t="s">
        <v>252</v>
      </c>
      <c r="H27" s="250" t="s">
        <v>252</v>
      </c>
      <c r="I27" s="250" t="s">
        <v>252</v>
      </c>
      <c r="J27" s="250"/>
      <c r="K27" s="250"/>
      <c r="L27" s="250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203"/>
      <c r="AC27" s="203"/>
      <c r="AD27" s="203"/>
      <c r="AE27" s="203"/>
      <c r="AF27" s="203"/>
      <c r="AG27" s="203"/>
      <c r="AH27" s="203"/>
    </row>
    <row r="28" ht="15.75" customHeight="1">
      <c r="A28" s="241"/>
      <c r="B28" s="251" t="s">
        <v>253</v>
      </c>
      <c r="C28" s="16"/>
      <c r="D28" s="17"/>
      <c r="E28" s="252">
        <v>45932.0</v>
      </c>
      <c r="F28" s="252">
        <v>45932.0</v>
      </c>
      <c r="G28" s="252">
        <v>45932.0</v>
      </c>
      <c r="H28" s="252">
        <v>45932.0</v>
      </c>
      <c r="I28" s="252">
        <v>45932.0</v>
      </c>
      <c r="J28" s="252"/>
      <c r="K28" s="252"/>
      <c r="L28" s="252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  <c r="AB28" s="203"/>
      <c r="AC28" s="203"/>
      <c r="AD28" s="203"/>
      <c r="AE28" s="203"/>
      <c r="AF28" s="203"/>
      <c r="AG28" s="203"/>
      <c r="AH28" s="203"/>
    </row>
    <row r="29" ht="74.25" customHeight="1">
      <c r="A29" s="253"/>
      <c r="B29" s="254" t="s">
        <v>254</v>
      </c>
      <c r="C29" s="255"/>
      <c r="D29" s="256"/>
      <c r="E29" s="257"/>
      <c r="F29" s="258"/>
      <c r="G29" s="259"/>
      <c r="H29" s="257"/>
      <c r="I29" s="257"/>
      <c r="J29" s="257"/>
      <c r="K29" s="257"/>
      <c r="L29" s="257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203"/>
      <c r="AC29" s="203"/>
      <c r="AD29" s="203"/>
      <c r="AE29" s="203"/>
      <c r="AF29" s="203"/>
      <c r="AG29" s="203"/>
      <c r="AH29" s="203"/>
    </row>
    <row r="30" ht="15.75" customHeight="1">
      <c r="A30" s="198"/>
      <c r="B30" s="198"/>
      <c r="C30" s="198"/>
      <c r="D30" s="198"/>
      <c r="E30" s="198"/>
      <c r="F30" s="198"/>
      <c r="G30" s="199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9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</row>
    <row r="31" ht="15.75" customHeight="1">
      <c r="A31" s="198"/>
      <c r="B31" s="198"/>
      <c r="C31" s="198"/>
      <c r="D31" s="198"/>
      <c r="E31" s="198"/>
      <c r="F31" s="198"/>
      <c r="G31" s="199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9"/>
      <c r="W31" s="198"/>
      <c r="X31" s="198"/>
      <c r="Y31" s="198"/>
      <c r="Z31" s="198"/>
      <c r="AA31" s="198"/>
      <c r="AB31" s="198"/>
      <c r="AC31" s="198"/>
      <c r="AD31" s="198"/>
      <c r="AE31" s="198"/>
      <c r="AF31" s="198"/>
      <c r="AG31" s="198"/>
      <c r="AH31" s="198"/>
    </row>
    <row r="32" ht="15.75" customHeight="1">
      <c r="A32" s="198"/>
      <c r="B32" s="198"/>
      <c r="C32" s="198"/>
      <c r="D32" s="198"/>
      <c r="E32" s="198"/>
      <c r="F32" s="198"/>
      <c r="G32" s="199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9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</row>
    <row r="33" ht="15.75" customHeight="1">
      <c r="A33" s="198"/>
      <c r="B33" s="198"/>
      <c r="C33" s="198"/>
      <c r="D33" s="198"/>
      <c r="E33" s="198"/>
      <c r="F33" s="198"/>
      <c r="G33" s="199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9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</row>
    <row r="34" ht="15.75" customHeight="1">
      <c r="A34" s="198"/>
      <c r="B34" s="198"/>
      <c r="C34" s="198"/>
      <c r="D34" s="198"/>
      <c r="E34" s="198"/>
      <c r="F34" s="198"/>
      <c r="G34" s="199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9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</row>
    <row r="35" ht="15.75" customHeight="1">
      <c r="A35" s="198"/>
      <c r="B35" s="198"/>
      <c r="C35" s="198"/>
      <c r="D35" s="198"/>
      <c r="E35" s="198"/>
      <c r="F35" s="198"/>
      <c r="G35" s="199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9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</row>
    <row r="36" ht="15.75" customHeight="1">
      <c r="A36" s="198"/>
      <c r="B36" s="198"/>
      <c r="C36" s="198"/>
      <c r="D36" s="198"/>
      <c r="E36" s="198"/>
      <c r="F36" s="198"/>
      <c r="G36" s="199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9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</row>
    <row r="37" ht="15.75" customHeight="1">
      <c r="A37" s="198"/>
      <c r="B37" s="198"/>
      <c r="C37" s="198"/>
      <c r="D37" s="198"/>
      <c r="E37" s="198"/>
      <c r="F37" s="198"/>
      <c r="G37" s="199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9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</row>
    <row r="38" ht="15.75" customHeight="1">
      <c r="A38" s="198"/>
      <c r="B38" s="198"/>
      <c r="C38" s="198"/>
      <c r="D38" s="198"/>
      <c r="E38" s="198"/>
      <c r="F38" s="198"/>
      <c r="G38" s="199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9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</row>
    <row r="39" ht="15.75" customHeight="1">
      <c r="A39" s="198"/>
      <c r="B39" s="198"/>
      <c r="C39" s="198"/>
      <c r="D39" s="198"/>
      <c r="E39" s="198"/>
      <c r="F39" s="198"/>
      <c r="G39" s="199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9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</row>
    <row r="40" ht="15.75" customHeight="1">
      <c r="A40" s="198"/>
      <c r="B40" s="198"/>
      <c r="C40" s="198"/>
      <c r="D40" s="198"/>
      <c r="E40" s="198"/>
      <c r="F40" s="198"/>
      <c r="G40" s="199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9"/>
      <c r="W40" s="198"/>
      <c r="X40" s="198"/>
      <c r="Y40" s="198"/>
      <c r="Z40" s="198"/>
      <c r="AA40" s="198"/>
      <c r="AB40" s="198"/>
      <c r="AC40" s="198"/>
      <c r="AD40" s="198"/>
      <c r="AE40" s="198"/>
      <c r="AF40" s="198"/>
      <c r="AG40" s="198"/>
      <c r="AH40" s="198"/>
    </row>
    <row r="41" ht="15.75" customHeight="1">
      <c r="A41" s="198"/>
      <c r="B41" s="198"/>
      <c r="C41" s="198"/>
      <c r="D41" s="198"/>
      <c r="E41" s="198"/>
      <c r="F41" s="198"/>
      <c r="G41" s="199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9"/>
      <c r="W41" s="198"/>
      <c r="X41" s="198"/>
      <c r="Y41" s="198"/>
      <c r="Z41" s="198"/>
      <c r="AA41" s="198"/>
      <c r="AB41" s="198"/>
      <c r="AC41" s="198"/>
      <c r="AD41" s="198"/>
      <c r="AE41" s="198"/>
      <c r="AF41" s="198"/>
      <c r="AG41" s="198"/>
      <c r="AH41" s="198"/>
    </row>
    <row r="42" ht="15.75" customHeight="1">
      <c r="A42" s="198"/>
      <c r="B42" s="198"/>
      <c r="C42" s="198"/>
      <c r="D42" s="198"/>
      <c r="E42" s="198"/>
      <c r="F42" s="198"/>
      <c r="G42" s="199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9"/>
      <c r="W42" s="198"/>
      <c r="X42" s="198"/>
      <c r="Y42" s="198"/>
      <c r="Z42" s="198"/>
      <c r="AA42" s="198"/>
      <c r="AB42" s="198"/>
      <c r="AC42" s="198"/>
      <c r="AD42" s="198"/>
      <c r="AE42" s="198"/>
      <c r="AF42" s="198"/>
      <c r="AG42" s="198"/>
      <c r="AH42" s="198"/>
    </row>
    <row r="43" ht="15.75" customHeight="1">
      <c r="A43" s="198"/>
      <c r="B43" s="198"/>
      <c r="C43" s="198"/>
      <c r="D43" s="198"/>
      <c r="E43" s="198"/>
      <c r="F43" s="198"/>
      <c r="G43" s="199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9"/>
      <c r="W43" s="198"/>
      <c r="X43" s="198"/>
      <c r="Y43" s="198"/>
      <c r="Z43" s="198"/>
      <c r="AA43" s="198"/>
      <c r="AB43" s="198"/>
      <c r="AC43" s="198"/>
      <c r="AD43" s="198"/>
      <c r="AE43" s="198"/>
      <c r="AF43" s="198"/>
      <c r="AG43" s="198"/>
      <c r="AH43" s="198"/>
    </row>
    <row r="44" ht="15.75" customHeight="1">
      <c r="A44" s="198"/>
      <c r="B44" s="198"/>
      <c r="C44" s="198"/>
      <c r="D44" s="198"/>
      <c r="E44" s="198"/>
      <c r="F44" s="198"/>
      <c r="G44" s="199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9"/>
      <c r="W44" s="198"/>
      <c r="X44" s="198"/>
      <c r="Y44" s="198"/>
      <c r="Z44" s="198"/>
      <c r="AA44" s="198"/>
      <c r="AB44" s="198"/>
      <c r="AC44" s="198"/>
      <c r="AD44" s="198"/>
      <c r="AE44" s="198"/>
      <c r="AF44" s="198"/>
      <c r="AG44" s="198"/>
      <c r="AH44" s="198"/>
    </row>
    <row r="45" ht="15.75" customHeight="1">
      <c r="A45" s="198"/>
      <c r="B45" s="198"/>
      <c r="C45" s="198"/>
      <c r="D45" s="198"/>
      <c r="E45" s="198"/>
      <c r="F45" s="198"/>
      <c r="G45" s="199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9"/>
      <c r="W45" s="198"/>
      <c r="X45" s="198"/>
      <c r="Y45" s="198"/>
      <c r="Z45" s="198"/>
      <c r="AA45" s="198"/>
      <c r="AB45" s="198"/>
      <c r="AC45" s="198"/>
      <c r="AD45" s="198"/>
      <c r="AE45" s="198"/>
      <c r="AF45" s="198"/>
      <c r="AG45" s="198"/>
      <c r="AH45" s="198"/>
    </row>
    <row r="46" ht="15.75" customHeight="1">
      <c r="A46" s="198"/>
      <c r="B46" s="198"/>
      <c r="C46" s="198"/>
      <c r="D46" s="198"/>
      <c r="E46" s="198"/>
      <c r="F46" s="198"/>
      <c r="G46" s="199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9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</row>
    <row r="47" ht="15.75" customHeight="1">
      <c r="A47" s="198"/>
      <c r="B47" s="198"/>
      <c r="C47" s="198"/>
      <c r="D47" s="198"/>
      <c r="E47" s="198"/>
      <c r="F47" s="198"/>
      <c r="G47" s="199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9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</row>
    <row r="48" ht="15.75" customHeight="1">
      <c r="A48" s="198"/>
      <c r="B48" s="198"/>
      <c r="C48" s="198"/>
      <c r="D48" s="198"/>
      <c r="E48" s="198"/>
      <c r="F48" s="198"/>
      <c r="G48" s="199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9"/>
      <c r="W48" s="198"/>
      <c r="X48" s="198"/>
      <c r="Y48" s="198"/>
      <c r="Z48" s="198"/>
      <c r="AA48" s="198"/>
      <c r="AB48" s="198"/>
      <c r="AC48" s="198"/>
      <c r="AD48" s="198"/>
      <c r="AE48" s="198"/>
      <c r="AF48" s="198"/>
      <c r="AG48" s="198"/>
      <c r="AH48" s="198"/>
    </row>
    <row r="49" ht="15.75" customHeight="1">
      <c r="A49" s="198"/>
      <c r="B49" s="198"/>
      <c r="C49" s="198"/>
      <c r="D49" s="198"/>
      <c r="E49" s="198"/>
      <c r="F49" s="198"/>
      <c r="G49" s="199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9"/>
      <c r="W49" s="198"/>
      <c r="X49" s="198"/>
      <c r="Y49" s="198"/>
      <c r="Z49" s="198"/>
      <c r="AA49" s="198"/>
      <c r="AB49" s="198"/>
      <c r="AC49" s="198"/>
      <c r="AD49" s="198"/>
      <c r="AE49" s="198"/>
      <c r="AF49" s="198"/>
      <c r="AG49" s="198"/>
      <c r="AH49" s="198"/>
    </row>
    <row r="50" ht="15.75" customHeight="1">
      <c r="A50" s="198"/>
      <c r="B50" s="198"/>
      <c r="C50" s="198"/>
      <c r="D50" s="198"/>
      <c r="E50" s="198"/>
      <c r="F50" s="198"/>
      <c r="G50" s="199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9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</row>
    <row r="51" ht="15.75" customHeight="1">
      <c r="A51" s="198"/>
      <c r="B51" s="198"/>
      <c r="C51" s="198"/>
      <c r="D51" s="198"/>
      <c r="E51" s="198"/>
      <c r="F51" s="198"/>
      <c r="G51" s="199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9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</row>
    <row r="52" ht="15.75" customHeight="1">
      <c r="A52" s="198"/>
      <c r="B52" s="198"/>
      <c r="C52" s="198"/>
      <c r="D52" s="198"/>
      <c r="E52" s="198"/>
      <c r="F52" s="198"/>
      <c r="G52" s="199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9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</row>
    <row r="53" ht="15.75" customHeight="1">
      <c r="A53" s="198"/>
      <c r="B53" s="198"/>
      <c r="C53" s="198"/>
      <c r="D53" s="198"/>
      <c r="E53" s="198"/>
      <c r="F53" s="198"/>
      <c r="G53" s="199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9"/>
      <c r="W53" s="198"/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</row>
    <row r="54" ht="15.75" customHeight="1">
      <c r="A54" s="198"/>
      <c r="B54" s="198"/>
      <c r="C54" s="198"/>
      <c r="D54" s="198"/>
      <c r="E54" s="198"/>
      <c r="F54" s="198"/>
      <c r="G54" s="199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9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</row>
    <row r="55" ht="15.75" customHeight="1">
      <c r="A55" s="198"/>
      <c r="B55" s="198"/>
      <c r="C55" s="198"/>
      <c r="D55" s="198"/>
      <c r="E55" s="198"/>
      <c r="F55" s="198"/>
      <c r="G55" s="199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9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</row>
    <row r="56" ht="15.75" customHeight="1">
      <c r="A56" s="198"/>
      <c r="B56" s="198"/>
      <c r="C56" s="198"/>
      <c r="D56" s="198"/>
      <c r="E56" s="198"/>
      <c r="F56" s="198"/>
      <c r="G56" s="199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9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</row>
    <row r="57" ht="15.75" customHeight="1">
      <c r="A57" s="198"/>
      <c r="B57" s="198"/>
      <c r="C57" s="198"/>
      <c r="D57" s="198"/>
      <c r="E57" s="198"/>
      <c r="F57" s="198"/>
      <c r="G57" s="199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9"/>
      <c r="W57" s="198"/>
      <c r="X57" s="198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</row>
    <row r="58" ht="15.75" customHeight="1">
      <c r="A58" s="198"/>
      <c r="B58" s="198"/>
      <c r="C58" s="198"/>
      <c r="D58" s="198"/>
      <c r="E58" s="198"/>
      <c r="F58" s="198"/>
      <c r="G58" s="199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9"/>
      <c r="W58" s="198"/>
      <c r="X58" s="198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</row>
    <row r="59" ht="15.75" customHeight="1">
      <c r="A59" s="198"/>
      <c r="B59" s="198"/>
      <c r="C59" s="198"/>
      <c r="D59" s="198"/>
      <c r="E59" s="198"/>
      <c r="F59" s="198"/>
      <c r="G59" s="199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9"/>
      <c r="W59" s="198"/>
      <c r="X59" s="198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</row>
    <row r="60" ht="15.75" customHeight="1">
      <c r="A60" s="198"/>
      <c r="B60" s="198"/>
      <c r="C60" s="198"/>
      <c r="D60" s="198"/>
      <c r="E60" s="198"/>
      <c r="F60" s="198"/>
      <c r="G60" s="199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9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</row>
    <row r="61" ht="15.75" customHeight="1">
      <c r="A61" s="198"/>
      <c r="B61" s="198"/>
      <c r="C61" s="198"/>
      <c r="D61" s="198"/>
      <c r="E61" s="198"/>
      <c r="F61" s="198"/>
      <c r="G61" s="199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9"/>
      <c r="W61" s="198"/>
      <c r="X61" s="198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</row>
    <row r="62" ht="15.75" customHeight="1">
      <c r="A62" s="198"/>
      <c r="B62" s="198"/>
      <c r="C62" s="198"/>
      <c r="D62" s="198"/>
      <c r="E62" s="198"/>
      <c r="F62" s="198"/>
      <c r="G62" s="199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9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</row>
    <row r="63" ht="15.75" customHeight="1">
      <c r="A63" s="198"/>
      <c r="B63" s="198"/>
      <c r="C63" s="198"/>
      <c r="D63" s="198"/>
      <c r="E63" s="198"/>
      <c r="F63" s="198"/>
      <c r="G63" s="199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9"/>
      <c r="W63" s="198"/>
      <c r="X63" s="198"/>
      <c r="Y63" s="198"/>
      <c r="Z63" s="198"/>
      <c r="AA63" s="198"/>
      <c r="AB63" s="198"/>
      <c r="AC63" s="198"/>
      <c r="AD63" s="198"/>
      <c r="AE63" s="198"/>
      <c r="AF63" s="198"/>
      <c r="AG63" s="198"/>
      <c r="AH63" s="198"/>
    </row>
    <row r="64" ht="15.75" customHeight="1">
      <c r="A64" s="198"/>
      <c r="B64" s="198"/>
      <c r="C64" s="198"/>
      <c r="D64" s="198"/>
      <c r="E64" s="198"/>
      <c r="F64" s="198"/>
      <c r="G64" s="199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9"/>
      <c r="W64" s="198"/>
      <c r="X64" s="198"/>
      <c r="Y64" s="198"/>
      <c r="Z64" s="198"/>
      <c r="AA64" s="198"/>
      <c r="AB64" s="198"/>
      <c r="AC64" s="198"/>
      <c r="AD64" s="198"/>
      <c r="AE64" s="198"/>
      <c r="AF64" s="198"/>
      <c r="AG64" s="198"/>
      <c r="AH64" s="198"/>
    </row>
    <row r="65" ht="15.75" customHeight="1">
      <c r="A65" s="198"/>
      <c r="B65" s="198"/>
      <c r="C65" s="198"/>
      <c r="D65" s="198"/>
      <c r="E65" s="198"/>
      <c r="F65" s="198"/>
      <c r="G65" s="199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9"/>
      <c r="W65" s="198"/>
      <c r="X65" s="198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</row>
    <row r="66" ht="15.75" customHeight="1">
      <c r="A66" s="198"/>
      <c r="B66" s="198"/>
      <c r="C66" s="198"/>
      <c r="D66" s="198"/>
      <c r="E66" s="198"/>
      <c r="F66" s="198"/>
      <c r="G66" s="199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9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</row>
    <row r="67" ht="15.75" customHeight="1">
      <c r="A67" s="198"/>
      <c r="B67" s="198"/>
      <c r="C67" s="198"/>
      <c r="D67" s="198"/>
      <c r="E67" s="198"/>
      <c r="F67" s="198"/>
      <c r="G67" s="199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9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</row>
    <row r="68" ht="15.75" customHeight="1">
      <c r="A68" s="198"/>
      <c r="B68" s="198"/>
      <c r="C68" s="198"/>
      <c r="D68" s="198"/>
      <c r="E68" s="198"/>
      <c r="F68" s="198"/>
      <c r="G68" s="199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9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  <c r="AH68" s="198"/>
    </row>
    <row r="69" ht="15.75" customHeight="1">
      <c r="A69" s="198"/>
      <c r="B69" s="198"/>
      <c r="C69" s="198"/>
      <c r="D69" s="198"/>
      <c r="E69" s="198"/>
      <c r="F69" s="198"/>
      <c r="G69" s="199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9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</row>
    <row r="70" ht="15.75" customHeight="1">
      <c r="A70" s="198"/>
      <c r="B70" s="198"/>
      <c r="C70" s="198"/>
      <c r="D70" s="198"/>
      <c r="E70" s="198"/>
      <c r="F70" s="198"/>
      <c r="G70" s="199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9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</row>
    <row r="71" ht="15.75" customHeight="1">
      <c r="A71" s="198"/>
      <c r="B71" s="198"/>
      <c r="C71" s="198"/>
      <c r="D71" s="198"/>
      <c r="E71" s="198"/>
      <c r="F71" s="198"/>
      <c r="G71" s="199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</row>
    <row r="72" ht="15.75" customHeight="1">
      <c r="A72" s="198"/>
      <c r="B72" s="198"/>
      <c r="C72" s="198"/>
      <c r="D72" s="198"/>
      <c r="E72" s="198"/>
      <c r="F72" s="198"/>
      <c r="G72" s="199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9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</row>
    <row r="73" ht="15.75" customHeight="1">
      <c r="A73" s="198"/>
      <c r="B73" s="198"/>
      <c r="C73" s="198"/>
      <c r="D73" s="198"/>
      <c r="E73" s="198"/>
      <c r="F73" s="198"/>
      <c r="G73" s="199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9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</row>
    <row r="74" ht="15.75" customHeight="1">
      <c r="A74" s="198"/>
      <c r="B74" s="198"/>
      <c r="C74" s="198"/>
      <c r="D74" s="198"/>
      <c r="E74" s="198"/>
      <c r="F74" s="198"/>
      <c r="G74" s="199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9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</row>
    <row r="75" ht="15.75" customHeight="1">
      <c r="A75" s="198"/>
      <c r="B75" s="198"/>
      <c r="C75" s="198"/>
      <c r="D75" s="198"/>
      <c r="E75" s="198"/>
      <c r="F75" s="198"/>
      <c r="G75" s="199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9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</row>
    <row r="76" ht="15.75" customHeight="1">
      <c r="A76" s="198"/>
      <c r="B76" s="198"/>
      <c r="C76" s="198"/>
      <c r="D76" s="198"/>
      <c r="E76" s="198"/>
      <c r="F76" s="198"/>
      <c r="G76" s="199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9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</row>
    <row r="77" ht="15.75" customHeight="1">
      <c r="A77" s="198"/>
      <c r="B77" s="198"/>
      <c r="C77" s="198"/>
      <c r="D77" s="198"/>
      <c r="E77" s="198"/>
      <c r="F77" s="198"/>
      <c r="G77" s="199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9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</row>
    <row r="78" ht="15.75" customHeight="1">
      <c r="A78" s="198"/>
      <c r="B78" s="198"/>
      <c r="C78" s="198"/>
      <c r="D78" s="198"/>
      <c r="E78" s="198"/>
      <c r="F78" s="198"/>
      <c r="G78" s="199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9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</row>
    <row r="79" ht="15.75" customHeight="1">
      <c r="A79" s="198"/>
      <c r="B79" s="198"/>
      <c r="C79" s="198"/>
      <c r="D79" s="198"/>
      <c r="E79" s="198"/>
      <c r="F79" s="198"/>
      <c r="G79" s="199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9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</row>
    <row r="80" ht="15.75" customHeight="1">
      <c r="A80" s="198"/>
      <c r="B80" s="198"/>
      <c r="C80" s="198"/>
      <c r="D80" s="198"/>
      <c r="E80" s="198"/>
      <c r="F80" s="198"/>
      <c r="G80" s="199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9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</row>
    <row r="81" ht="15.75" customHeight="1">
      <c r="A81" s="198"/>
      <c r="B81" s="198"/>
      <c r="C81" s="198"/>
      <c r="D81" s="198"/>
      <c r="E81" s="198"/>
      <c r="F81" s="198"/>
      <c r="G81" s="199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9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</row>
    <row r="82" ht="15.75" customHeight="1">
      <c r="A82" s="198"/>
      <c r="B82" s="198"/>
      <c r="C82" s="198"/>
      <c r="D82" s="198"/>
      <c r="E82" s="198"/>
      <c r="F82" s="198"/>
      <c r="G82" s="199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9"/>
      <c r="W82" s="198"/>
      <c r="X82" s="198"/>
      <c r="Y82" s="198"/>
      <c r="Z82" s="198"/>
      <c r="AA82" s="198"/>
      <c r="AB82" s="198"/>
      <c r="AC82" s="198"/>
      <c r="AD82" s="198"/>
      <c r="AE82" s="198"/>
      <c r="AF82" s="198"/>
      <c r="AG82" s="198"/>
      <c r="AH82" s="198"/>
    </row>
    <row r="83" ht="15.75" customHeight="1">
      <c r="A83" s="198"/>
      <c r="B83" s="198"/>
      <c r="C83" s="198"/>
      <c r="D83" s="198"/>
      <c r="E83" s="198"/>
      <c r="F83" s="198"/>
      <c r="G83" s="199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9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</row>
    <row r="84" ht="15.75" customHeight="1">
      <c r="A84" s="198"/>
      <c r="B84" s="198"/>
      <c r="C84" s="198"/>
      <c r="D84" s="198"/>
      <c r="E84" s="198"/>
      <c r="F84" s="198"/>
      <c r="G84" s="199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9"/>
      <c r="W84" s="198"/>
      <c r="X84" s="198"/>
      <c r="Y84" s="198"/>
      <c r="Z84" s="198"/>
      <c r="AA84" s="198"/>
      <c r="AB84" s="198"/>
      <c r="AC84" s="198"/>
      <c r="AD84" s="198"/>
      <c r="AE84" s="198"/>
      <c r="AF84" s="198"/>
      <c r="AG84" s="198"/>
      <c r="AH84" s="198"/>
    </row>
    <row r="85" ht="15.75" customHeight="1">
      <c r="A85" s="198"/>
      <c r="B85" s="198"/>
      <c r="C85" s="198"/>
      <c r="D85" s="198"/>
      <c r="E85" s="198"/>
      <c r="F85" s="198"/>
      <c r="G85" s="199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9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198"/>
      <c r="AH85" s="198"/>
    </row>
    <row r="86" ht="15.75" customHeight="1">
      <c r="A86" s="198"/>
      <c r="B86" s="198"/>
      <c r="C86" s="198"/>
      <c r="D86" s="198"/>
      <c r="E86" s="198"/>
      <c r="F86" s="198"/>
      <c r="G86" s="199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9"/>
      <c r="W86" s="198"/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</row>
    <row r="87" ht="15.75" customHeight="1">
      <c r="A87" s="198"/>
      <c r="B87" s="198"/>
      <c r="C87" s="198"/>
      <c r="D87" s="198"/>
      <c r="E87" s="198"/>
      <c r="F87" s="198"/>
      <c r="G87" s="199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9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198"/>
    </row>
    <row r="88" ht="15.75" customHeight="1">
      <c r="A88" s="198"/>
      <c r="B88" s="198"/>
      <c r="C88" s="198"/>
      <c r="D88" s="198"/>
      <c r="E88" s="198"/>
      <c r="F88" s="198"/>
      <c r="G88" s="199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9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198"/>
    </row>
    <row r="89" ht="15.75" customHeight="1">
      <c r="A89" s="198"/>
      <c r="B89" s="198"/>
      <c r="C89" s="198"/>
      <c r="D89" s="198"/>
      <c r="E89" s="198"/>
      <c r="F89" s="198"/>
      <c r="G89" s="199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9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</row>
    <row r="90" ht="15.75" customHeight="1">
      <c r="A90" s="198"/>
      <c r="B90" s="198"/>
      <c r="C90" s="198"/>
      <c r="D90" s="198"/>
      <c r="E90" s="198"/>
      <c r="F90" s="198"/>
      <c r="G90" s="199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9"/>
      <c r="W90" s="198"/>
      <c r="X90" s="198"/>
      <c r="Y90" s="198"/>
      <c r="Z90" s="198"/>
      <c r="AA90" s="198"/>
      <c r="AB90" s="198"/>
      <c r="AC90" s="198"/>
      <c r="AD90" s="198"/>
      <c r="AE90" s="198"/>
      <c r="AF90" s="198"/>
      <c r="AG90" s="198"/>
      <c r="AH90" s="198"/>
    </row>
    <row r="91" ht="15.75" customHeight="1">
      <c r="A91" s="198"/>
      <c r="B91" s="198"/>
      <c r="C91" s="198"/>
      <c r="D91" s="198"/>
      <c r="E91" s="198"/>
      <c r="F91" s="198"/>
      <c r="G91" s="199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9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198"/>
    </row>
    <row r="92" ht="15.75" customHeight="1">
      <c r="A92" s="198"/>
      <c r="B92" s="198"/>
      <c r="C92" s="198"/>
      <c r="D92" s="198"/>
      <c r="E92" s="198"/>
      <c r="F92" s="198"/>
      <c r="G92" s="199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9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198"/>
    </row>
    <row r="93" ht="15.75" customHeight="1">
      <c r="A93" s="198"/>
      <c r="B93" s="198"/>
      <c r="C93" s="198"/>
      <c r="D93" s="198"/>
      <c r="E93" s="198"/>
      <c r="F93" s="198"/>
      <c r="G93" s="199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9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198"/>
      <c r="AH93" s="198"/>
    </row>
    <row r="94" ht="15.75" customHeight="1">
      <c r="A94" s="198"/>
      <c r="B94" s="198"/>
      <c r="C94" s="198"/>
      <c r="D94" s="198"/>
      <c r="E94" s="198"/>
      <c r="F94" s="198"/>
      <c r="G94" s="199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9"/>
      <c r="W94" s="198"/>
      <c r="X94" s="198"/>
      <c r="Y94" s="198"/>
      <c r="Z94" s="198"/>
      <c r="AA94" s="198"/>
      <c r="AB94" s="198"/>
      <c r="AC94" s="198"/>
      <c r="AD94" s="198"/>
      <c r="AE94" s="198"/>
      <c r="AF94" s="198"/>
      <c r="AG94" s="198"/>
      <c r="AH94" s="198"/>
    </row>
    <row r="95" ht="15.75" customHeight="1">
      <c r="A95" s="198"/>
      <c r="B95" s="198"/>
      <c r="C95" s="198"/>
      <c r="D95" s="198"/>
      <c r="E95" s="198"/>
      <c r="F95" s="198"/>
      <c r="G95" s="199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9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</row>
    <row r="96" ht="15.75" customHeight="1">
      <c r="A96" s="198"/>
      <c r="B96" s="198"/>
      <c r="C96" s="198"/>
      <c r="D96" s="198"/>
      <c r="E96" s="198"/>
      <c r="F96" s="198"/>
      <c r="G96" s="199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9"/>
      <c r="W96" s="198"/>
      <c r="X96" s="198"/>
      <c r="Y96" s="198"/>
      <c r="Z96" s="198"/>
      <c r="AA96" s="198"/>
      <c r="AB96" s="198"/>
      <c r="AC96" s="198"/>
      <c r="AD96" s="198"/>
      <c r="AE96" s="198"/>
      <c r="AF96" s="198"/>
      <c r="AG96" s="198"/>
      <c r="AH96" s="198"/>
    </row>
    <row r="97" ht="15.75" customHeight="1">
      <c r="A97" s="198"/>
      <c r="B97" s="198"/>
      <c r="C97" s="198"/>
      <c r="D97" s="198"/>
      <c r="E97" s="198"/>
      <c r="F97" s="198"/>
      <c r="G97" s="199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9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</row>
    <row r="98" ht="15.75" customHeight="1">
      <c r="A98" s="198"/>
      <c r="B98" s="198"/>
      <c r="C98" s="198"/>
      <c r="D98" s="198"/>
      <c r="E98" s="198"/>
      <c r="F98" s="198"/>
      <c r="G98" s="199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9"/>
      <c r="W98" s="198"/>
      <c r="X98" s="198"/>
      <c r="Y98" s="198"/>
      <c r="Z98" s="198"/>
      <c r="AA98" s="198"/>
      <c r="AB98" s="198"/>
      <c r="AC98" s="198"/>
      <c r="AD98" s="198"/>
      <c r="AE98" s="198"/>
      <c r="AF98" s="198"/>
      <c r="AG98" s="198"/>
      <c r="AH98" s="198"/>
    </row>
    <row r="99" ht="15.75" customHeight="1">
      <c r="A99" s="198"/>
      <c r="B99" s="198"/>
      <c r="C99" s="198"/>
      <c r="D99" s="198"/>
      <c r="E99" s="198"/>
      <c r="F99" s="198"/>
      <c r="G99" s="199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9"/>
      <c r="W99" s="198"/>
      <c r="X99" s="198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</row>
    <row r="100" ht="15.75" customHeight="1">
      <c r="A100" s="198"/>
      <c r="B100" s="198"/>
      <c r="C100" s="198"/>
      <c r="D100" s="198"/>
      <c r="E100" s="198"/>
      <c r="F100" s="198"/>
      <c r="G100" s="199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9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</row>
    <row r="101" ht="15.75" customHeight="1">
      <c r="A101" s="198"/>
      <c r="B101" s="198"/>
      <c r="C101" s="198"/>
      <c r="D101" s="198"/>
      <c r="E101" s="198"/>
      <c r="F101" s="198"/>
      <c r="G101" s="199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9"/>
      <c r="W101" s="198"/>
      <c r="X101" s="198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</row>
    <row r="102" ht="15.75" customHeight="1">
      <c r="A102" s="198"/>
      <c r="B102" s="198"/>
      <c r="C102" s="198"/>
      <c r="D102" s="198"/>
      <c r="E102" s="198"/>
      <c r="F102" s="198"/>
      <c r="G102" s="199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9"/>
      <c r="W102" s="198"/>
      <c r="X102" s="198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</row>
    <row r="103" ht="15.75" customHeight="1">
      <c r="A103" s="198"/>
      <c r="B103" s="198"/>
      <c r="C103" s="198"/>
      <c r="D103" s="198"/>
      <c r="E103" s="198"/>
      <c r="F103" s="198"/>
      <c r="G103" s="199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9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</row>
    <row r="104" ht="15.75" customHeight="1">
      <c r="A104" s="198"/>
      <c r="B104" s="198"/>
      <c r="C104" s="198"/>
      <c r="D104" s="198"/>
      <c r="E104" s="198"/>
      <c r="F104" s="198"/>
      <c r="G104" s="199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9"/>
      <c r="W104" s="198"/>
      <c r="X104" s="198"/>
      <c r="Y104" s="198"/>
      <c r="Z104" s="198"/>
      <c r="AA104" s="198"/>
      <c r="AB104" s="198"/>
      <c r="AC104" s="198"/>
      <c r="AD104" s="198"/>
      <c r="AE104" s="198"/>
      <c r="AF104" s="198"/>
      <c r="AG104" s="198"/>
      <c r="AH104" s="198"/>
    </row>
    <row r="105" ht="15.75" customHeight="1">
      <c r="A105" s="198"/>
      <c r="B105" s="198"/>
      <c r="C105" s="198"/>
      <c r="D105" s="198"/>
      <c r="E105" s="198"/>
      <c r="F105" s="198"/>
      <c r="G105" s="199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9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</row>
    <row r="106" ht="15.75" customHeight="1">
      <c r="A106" s="198"/>
      <c r="B106" s="198"/>
      <c r="C106" s="198"/>
      <c r="D106" s="198"/>
      <c r="E106" s="198"/>
      <c r="F106" s="198"/>
      <c r="G106" s="199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9"/>
      <c r="W106" s="198"/>
      <c r="X106" s="198"/>
      <c r="Y106" s="198"/>
      <c r="Z106" s="198"/>
      <c r="AA106" s="198"/>
      <c r="AB106" s="198"/>
      <c r="AC106" s="198"/>
      <c r="AD106" s="198"/>
      <c r="AE106" s="198"/>
      <c r="AF106" s="198"/>
      <c r="AG106" s="198"/>
      <c r="AH106" s="198"/>
    </row>
    <row r="107" ht="15.75" customHeight="1">
      <c r="A107" s="198"/>
      <c r="B107" s="198"/>
      <c r="C107" s="198"/>
      <c r="D107" s="198"/>
      <c r="E107" s="198"/>
      <c r="F107" s="198"/>
      <c r="G107" s="199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9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  <c r="AH107" s="198"/>
    </row>
    <row r="108" ht="15.75" customHeight="1">
      <c r="A108" s="198"/>
      <c r="B108" s="198"/>
      <c r="C108" s="198"/>
      <c r="D108" s="198"/>
      <c r="E108" s="198"/>
      <c r="F108" s="198"/>
      <c r="G108" s="199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9"/>
      <c r="W108" s="198"/>
      <c r="X108" s="198"/>
      <c r="Y108" s="198"/>
      <c r="Z108" s="198"/>
      <c r="AA108" s="198"/>
      <c r="AB108" s="198"/>
      <c r="AC108" s="198"/>
      <c r="AD108" s="198"/>
      <c r="AE108" s="198"/>
      <c r="AF108" s="198"/>
      <c r="AG108" s="198"/>
      <c r="AH108" s="198"/>
    </row>
    <row r="109" ht="15.75" customHeight="1">
      <c r="A109" s="198"/>
      <c r="B109" s="198"/>
      <c r="C109" s="198"/>
      <c r="D109" s="198"/>
      <c r="E109" s="198"/>
      <c r="F109" s="198"/>
      <c r="G109" s="199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9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198"/>
    </row>
    <row r="110" ht="15.75" customHeight="1">
      <c r="A110" s="198"/>
      <c r="B110" s="198"/>
      <c r="C110" s="198"/>
      <c r="D110" s="198"/>
      <c r="E110" s="198"/>
      <c r="F110" s="198"/>
      <c r="G110" s="199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9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198"/>
    </row>
    <row r="111" ht="15.75" customHeight="1">
      <c r="A111" s="198"/>
      <c r="B111" s="198"/>
      <c r="C111" s="198"/>
      <c r="D111" s="198"/>
      <c r="E111" s="198"/>
      <c r="F111" s="198"/>
      <c r="G111" s="199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9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</row>
    <row r="112" ht="15.75" customHeight="1">
      <c r="A112" s="198"/>
      <c r="B112" s="198"/>
      <c r="C112" s="198"/>
      <c r="D112" s="198"/>
      <c r="E112" s="198"/>
      <c r="F112" s="198"/>
      <c r="G112" s="199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9"/>
      <c r="W112" s="198"/>
      <c r="X112" s="198"/>
      <c r="Y112" s="198"/>
      <c r="Z112" s="198"/>
      <c r="AA112" s="198"/>
      <c r="AB112" s="198"/>
      <c r="AC112" s="198"/>
      <c r="AD112" s="198"/>
      <c r="AE112" s="198"/>
      <c r="AF112" s="198"/>
      <c r="AG112" s="198"/>
      <c r="AH112" s="198"/>
    </row>
    <row r="113" ht="15.75" customHeight="1">
      <c r="A113" s="198"/>
      <c r="B113" s="198"/>
      <c r="C113" s="198"/>
      <c r="D113" s="198"/>
      <c r="E113" s="198"/>
      <c r="F113" s="198"/>
      <c r="G113" s="199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9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</row>
    <row r="114" ht="15.75" customHeight="1">
      <c r="A114" s="198"/>
      <c r="B114" s="198"/>
      <c r="C114" s="198"/>
      <c r="D114" s="198"/>
      <c r="E114" s="198"/>
      <c r="F114" s="198"/>
      <c r="G114" s="199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9"/>
      <c r="W114" s="198"/>
      <c r="X114" s="198"/>
      <c r="Y114" s="198"/>
      <c r="Z114" s="198"/>
      <c r="AA114" s="198"/>
      <c r="AB114" s="198"/>
      <c r="AC114" s="198"/>
      <c r="AD114" s="198"/>
      <c r="AE114" s="198"/>
      <c r="AF114" s="198"/>
      <c r="AG114" s="198"/>
      <c r="AH114" s="198"/>
    </row>
    <row r="115" ht="15.75" customHeight="1">
      <c r="A115" s="198"/>
      <c r="B115" s="198"/>
      <c r="C115" s="198"/>
      <c r="D115" s="198"/>
      <c r="E115" s="198"/>
      <c r="F115" s="198"/>
      <c r="G115" s="199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9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</row>
    <row r="116" ht="15.75" customHeight="1">
      <c r="A116" s="198"/>
      <c r="B116" s="198"/>
      <c r="C116" s="198"/>
      <c r="D116" s="198"/>
      <c r="E116" s="198"/>
      <c r="F116" s="198"/>
      <c r="G116" s="199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9"/>
      <c r="W116" s="198"/>
      <c r="X116" s="198"/>
      <c r="Y116" s="198"/>
      <c r="Z116" s="198"/>
      <c r="AA116" s="198"/>
      <c r="AB116" s="198"/>
      <c r="AC116" s="198"/>
      <c r="AD116" s="198"/>
      <c r="AE116" s="198"/>
      <c r="AF116" s="198"/>
      <c r="AG116" s="198"/>
      <c r="AH116" s="198"/>
    </row>
    <row r="117" ht="15.75" customHeight="1">
      <c r="A117" s="198"/>
      <c r="B117" s="198"/>
      <c r="C117" s="198"/>
      <c r="D117" s="198"/>
      <c r="E117" s="198"/>
      <c r="F117" s="198"/>
      <c r="G117" s="199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</row>
    <row r="118" ht="15.75" customHeight="1">
      <c r="A118" s="198"/>
      <c r="B118" s="198"/>
      <c r="C118" s="198"/>
      <c r="D118" s="198"/>
      <c r="E118" s="198"/>
      <c r="F118" s="198"/>
      <c r="G118" s="199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9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8"/>
      <c r="AH118" s="198"/>
    </row>
    <row r="119" ht="15.75" customHeight="1">
      <c r="A119" s="198"/>
      <c r="B119" s="198"/>
      <c r="C119" s="198"/>
      <c r="D119" s="198"/>
      <c r="E119" s="198"/>
      <c r="F119" s="198"/>
      <c r="G119" s="199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</row>
    <row r="120" ht="15.75" customHeight="1">
      <c r="A120" s="198"/>
      <c r="B120" s="198"/>
      <c r="C120" s="198"/>
      <c r="D120" s="198"/>
      <c r="E120" s="198"/>
      <c r="F120" s="198"/>
      <c r="G120" s="199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9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8"/>
      <c r="AH120" s="198"/>
    </row>
    <row r="121" ht="15.75" customHeight="1">
      <c r="A121" s="198"/>
      <c r="B121" s="198"/>
      <c r="C121" s="198"/>
      <c r="D121" s="198"/>
      <c r="E121" s="198"/>
      <c r="F121" s="198"/>
      <c r="G121" s="199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9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</row>
    <row r="122" ht="15.75" customHeight="1">
      <c r="A122" s="198"/>
      <c r="B122" s="198"/>
      <c r="C122" s="198"/>
      <c r="D122" s="198"/>
      <c r="E122" s="198"/>
      <c r="F122" s="198"/>
      <c r="G122" s="199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9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198"/>
    </row>
    <row r="123" ht="15.75" customHeight="1">
      <c r="A123" s="198"/>
      <c r="B123" s="198"/>
      <c r="C123" s="198"/>
      <c r="D123" s="198"/>
      <c r="E123" s="198"/>
      <c r="F123" s="198"/>
      <c r="G123" s="199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9"/>
      <c r="W123" s="198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8"/>
      <c r="AH123" s="198"/>
    </row>
    <row r="124" ht="15.75" customHeight="1">
      <c r="A124" s="198"/>
      <c r="B124" s="198"/>
      <c r="C124" s="198"/>
      <c r="D124" s="198"/>
      <c r="E124" s="198"/>
      <c r="F124" s="198"/>
      <c r="G124" s="199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9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8"/>
      <c r="AH124" s="198"/>
    </row>
    <row r="125" ht="15.75" customHeight="1">
      <c r="A125" s="198"/>
      <c r="B125" s="198"/>
      <c r="C125" s="198"/>
      <c r="D125" s="198"/>
      <c r="E125" s="198"/>
      <c r="F125" s="198"/>
      <c r="G125" s="199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9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8"/>
      <c r="AH125" s="198"/>
    </row>
    <row r="126" ht="15.75" customHeight="1">
      <c r="A126" s="198"/>
      <c r="B126" s="198"/>
      <c r="C126" s="198"/>
      <c r="D126" s="198"/>
      <c r="E126" s="198"/>
      <c r="F126" s="198"/>
      <c r="G126" s="199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9"/>
      <c r="W126" s="198"/>
      <c r="X126" s="198"/>
      <c r="Y126" s="198"/>
      <c r="Z126" s="198"/>
      <c r="AA126" s="198"/>
      <c r="AB126" s="198"/>
      <c r="AC126" s="198"/>
      <c r="AD126" s="198"/>
      <c r="AE126" s="198"/>
      <c r="AF126" s="198"/>
      <c r="AG126" s="198"/>
      <c r="AH126" s="198"/>
    </row>
    <row r="127" ht="15.75" customHeight="1">
      <c r="A127" s="198"/>
      <c r="B127" s="198"/>
      <c r="C127" s="198"/>
      <c r="D127" s="198"/>
      <c r="E127" s="198"/>
      <c r="F127" s="198"/>
      <c r="G127" s="199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9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</row>
    <row r="128" ht="15.75" customHeight="1">
      <c r="A128" s="198"/>
      <c r="B128" s="198"/>
      <c r="C128" s="198"/>
      <c r="D128" s="198"/>
      <c r="E128" s="198"/>
      <c r="F128" s="198"/>
      <c r="G128" s="199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9"/>
      <c r="W128" s="198"/>
      <c r="X128" s="198"/>
      <c r="Y128" s="198"/>
      <c r="Z128" s="198"/>
      <c r="AA128" s="198"/>
      <c r="AB128" s="198"/>
      <c r="AC128" s="198"/>
      <c r="AD128" s="198"/>
      <c r="AE128" s="198"/>
      <c r="AF128" s="198"/>
      <c r="AG128" s="198"/>
      <c r="AH128" s="198"/>
    </row>
    <row r="129" ht="15.75" customHeight="1">
      <c r="A129" s="198"/>
      <c r="B129" s="198"/>
      <c r="C129" s="198"/>
      <c r="D129" s="198"/>
      <c r="E129" s="198"/>
      <c r="F129" s="198"/>
      <c r="G129" s="199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9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</row>
    <row r="130" ht="15.75" customHeight="1">
      <c r="A130" s="198"/>
      <c r="B130" s="198"/>
      <c r="C130" s="198"/>
      <c r="D130" s="198"/>
      <c r="E130" s="198"/>
      <c r="F130" s="198"/>
      <c r="G130" s="199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9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198"/>
    </row>
    <row r="131" ht="15.75" customHeight="1">
      <c r="A131" s="198"/>
      <c r="B131" s="198"/>
      <c r="C131" s="198"/>
      <c r="D131" s="198"/>
      <c r="E131" s="198"/>
      <c r="F131" s="198"/>
      <c r="G131" s="199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9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198"/>
    </row>
    <row r="132" ht="15.75" customHeight="1">
      <c r="A132" s="198"/>
      <c r="B132" s="198"/>
      <c r="C132" s="198"/>
      <c r="D132" s="198"/>
      <c r="E132" s="198"/>
      <c r="F132" s="198"/>
      <c r="G132" s="199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9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</row>
    <row r="133" ht="15.75" customHeight="1">
      <c r="A133" s="198"/>
      <c r="B133" s="198"/>
      <c r="C133" s="198"/>
      <c r="D133" s="198"/>
      <c r="E133" s="198"/>
      <c r="F133" s="198"/>
      <c r="G133" s="199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9"/>
      <c r="W133" s="198"/>
      <c r="X133" s="198"/>
      <c r="Y133" s="198"/>
      <c r="Z133" s="198"/>
      <c r="AA133" s="198"/>
      <c r="AB133" s="198"/>
      <c r="AC133" s="198"/>
      <c r="AD133" s="198"/>
      <c r="AE133" s="198"/>
      <c r="AF133" s="198"/>
      <c r="AG133" s="198"/>
      <c r="AH133" s="198"/>
    </row>
    <row r="134" ht="15.75" customHeight="1">
      <c r="A134" s="198"/>
      <c r="B134" s="198"/>
      <c r="C134" s="198"/>
      <c r="D134" s="198"/>
      <c r="E134" s="198"/>
      <c r="F134" s="198"/>
      <c r="G134" s="199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9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</row>
    <row r="135" ht="15.75" customHeight="1">
      <c r="A135" s="198"/>
      <c r="B135" s="198"/>
      <c r="C135" s="198"/>
      <c r="D135" s="198"/>
      <c r="E135" s="198"/>
      <c r="F135" s="198"/>
      <c r="G135" s="199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9"/>
      <c r="W135" s="198"/>
      <c r="X135" s="198"/>
      <c r="Y135" s="198"/>
      <c r="Z135" s="198"/>
      <c r="AA135" s="198"/>
      <c r="AB135" s="198"/>
      <c r="AC135" s="198"/>
      <c r="AD135" s="198"/>
      <c r="AE135" s="198"/>
      <c r="AF135" s="198"/>
      <c r="AG135" s="198"/>
      <c r="AH135" s="198"/>
    </row>
    <row r="136" ht="15.75" customHeight="1">
      <c r="A136" s="198"/>
      <c r="B136" s="198"/>
      <c r="C136" s="198"/>
      <c r="D136" s="198"/>
      <c r="E136" s="198"/>
      <c r="F136" s="198"/>
      <c r="G136" s="199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9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</row>
    <row r="137" ht="15.75" customHeight="1">
      <c r="A137" s="198"/>
      <c r="B137" s="198"/>
      <c r="C137" s="198"/>
      <c r="D137" s="198"/>
      <c r="E137" s="198"/>
      <c r="F137" s="198"/>
      <c r="G137" s="199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9"/>
      <c r="W137" s="198"/>
      <c r="X137" s="198"/>
      <c r="Y137" s="198"/>
      <c r="Z137" s="198"/>
      <c r="AA137" s="198"/>
      <c r="AB137" s="198"/>
      <c r="AC137" s="198"/>
      <c r="AD137" s="198"/>
      <c r="AE137" s="198"/>
      <c r="AF137" s="198"/>
      <c r="AG137" s="198"/>
      <c r="AH137" s="198"/>
    </row>
    <row r="138" ht="15.75" customHeight="1">
      <c r="A138" s="198"/>
      <c r="B138" s="198"/>
      <c r="C138" s="198"/>
      <c r="D138" s="198"/>
      <c r="E138" s="198"/>
      <c r="F138" s="198"/>
      <c r="G138" s="199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9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</row>
    <row r="139" ht="15.75" customHeight="1">
      <c r="A139" s="198"/>
      <c r="B139" s="198"/>
      <c r="C139" s="198"/>
      <c r="D139" s="198"/>
      <c r="E139" s="198"/>
      <c r="F139" s="198"/>
      <c r="G139" s="199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9"/>
      <c r="W139" s="198"/>
      <c r="X139" s="198"/>
      <c r="Y139" s="198"/>
      <c r="Z139" s="198"/>
      <c r="AA139" s="198"/>
      <c r="AB139" s="198"/>
      <c r="AC139" s="198"/>
      <c r="AD139" s="198"/>
      <c r="AE139" s="198"/>
      <c r="AF139" s="198"/>
      <c r="AG139" s="198"/>
      <c r="AH139" s="198"/>
    </row>
    <row r="140" ht="15.75" customHeight="1">
      <c r="A140" s="198"/>
      <c r="B140" s="198"/>
      <c r="C140" s="198"/>
      <c r="D140" s="198"/>
      <c r="E140" s="198"/>
      <c r="F140" s="198"/>
      <c r="G140" s="199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9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</row>
    <row r="141" ht="15.75" customHeight="1">
      <c r="A141" s="198"/>
      <c r="B141" s="198"/>
      <c r="C141" s="198"/>
      <c r="D141" s="198"/>
      <c r="E141" s="198"/>
      <c r="F141" s="198"/>
      <c r="G141" s="199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9"/>
      <c r="W141" s="198"/>
      <c r="X141" s="198"/>
      <c r="Y141" s="198"/>
      <c r="Z141" s="198"/>
      <c r="AA141" s="198"/>
      <c r="AB141" s="198"/>
      <c r="AC141" s="198"/>
      <c r="AD141" s="198"/>
      <c r="AE141" s="198"/>
      <c r="AF141" s="198"/>
      <c r="AG141" s="198"/>
      <c r="AH141" s="198"/>
    </row>
    <row r="142" ht="15.75" customHeight="1">
      <c r="A142" s="198"/>
      <c r="B142" s="198"/>
      <c r="C142" s="198"/>
      <c r="D142" s="198"/>
      <c r="E142" s="198"/>
      <c r="F142" s="198"/>
      <c r="G142" s="199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9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</row>
    <row r="143" ht="15.75" customHeight="1">
      <c r="A143" s="198"/>
      <c r="B143" s="198"/>
      <c r="C143" s="198"/>
      <c r="D143" s="198"/>
      <c r="E143" s="198"/>
      <c r="F143" s="198"/>
      <c r="G143" s="199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9"/>
      <c r="W143" s="198"/>
      <c r="X143" s="198"/>
      <c r="Y143" s="198"/>
      <c r="Z143" s="198"/>
      <c r="AA143" s="198"/>
      <c r="AB143" s="198"/>
      <c r="AC143" s="198"/>
      <c r="AD143" s="198"/>
      <c r="AE143" s="198"/>
      <c r="AF143" s="198"/>
      <c r="AG143" s="198"/>
      <c r="AH143" s="198"/>
    </row>
    <row r="144" ht="15.75" customHeight="1">
      <c r="A144" s="198"/>
      <c r="B144" s="198"/>
      <c r="C144" s="198"/>
      <c r="D144" s="198"/>
      <c r="E144" s="198"/>
      <c r="F144" s="198"/>
      <c r="G144" s="199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9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198"/>
    </row>
    <row r="145" ht="15.75" customHeight="1">
      <c r="A145" s="198"/>
      <c r="B145" s="198"/>
      <c r="C145" s="198"/>
      <c r="D145" s="198"/>
      <c r="E145" s="198"/>
      <c r="F145" s="198"/>
      <c r="G145" s="199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9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198"/>
    </row>
    <row r="146" ht="15.75" customHeight="1">
      <c r="A146" s="198"/>
      <c r="B146" s="198"/>
      <c r="C146" s="198"/>
      <c r="D146" s="198"/>
      <c r="E146" s="198"/>
      <c r="F146" s="198"/>
      <c r="G146" s="199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9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</row>
    <row r="147" ht="15.75" customHeight="1">
      <c r="A147" s="198"/>
      <c r="B147" s="198"/>
      <c r="C147" s="198"/>
      <c r="D147" s="198"/>
      <c r="E147" s="198"/>
      <c r="F147" s="198"/>
      <c r="G147" s="199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9"/>
      <c r="W147" s="198"/>
      <c r="X147" s="198"/>
      <c r="Y147" s="198"/>
      <c r="Z147" s="198"/>
      <c r="AA147" s="198"/>
      <c r="AB147" s="198"/>
      <c r="AC147" s="198"/>
      <c r="AD147" s="198"/>
      <c r="AE147" s="198"/>
      <c r="AF147" s="198"/>
      <c r="AG147" s="198"/>
      <c r="AH147" s="198"/>
    </row>
    <row r="148" ht="15.75" customHeight="1">
      <c r="A148" s="198"/>
      <c r="B148" s="198"/>
      <c r="C148" s="198"/>
      <c r="D148" s="198"/>
      <c r="E148" s="198"/>
      <c r="F148" s="198"/>
      <c r="G148" s="199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9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</row>
    <row r="149" ht="15.75" customHeight="1">
      <c r="A149" s="198"/>
      <c r="B149" s="198"/>
      <c r="C149" s="198"/>
      <c r="D149" s="198"/>
      <c r="E149" s="198"/>
      <c r="F149" s="198"/>
      <c r="G149" s="199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9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198"/>
      <c r="AH149" s="198"/>
    </row>
    <row r="150" ht="15.75" customHeight="1">
      <c r="A150" s="198"/>
      <c r="B150" s="198"/>
      <c r="C150" s="198"/>
      <c r="D150" s="198"/>
      <c r="E150" s="198"/>
      <c r="F150" s="198"/>
      <c r="G150" s="199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9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</row>
    <row r="151" ht="15.75" customHeight="1">
      <c r="A151" s="198"/>
      <c r="B151" s="198"/>
      <c r="C151" s="198"/>
      <c r="D151" s="198"/>
      <c r="E151" s="198"/>
      <c r="F151" s="198"/>
      <c r="G151" s="199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9"/>
      <c r="W151" s="198"/>
      <c r="X151" s="198"/>
      <c r="Y151" s="198"/>
      <c r="Z151" s="198"/>
      <c r="AA151" s="198"/>
      <c r="AB151" s="198"/>
      <c r="AC151" s="198"/>
      <c r="AD151" s="198"/>
      <c r="AE151" s="198"/>
      <c r="AF151" s="198"/>
      <c r="AG151" s="198"/>
      <c r="AH151" s="198"/>
    </row>
    <row r="152" ht="15.75" customHeight="1">
      <c r="A152" s="198"/>
      <c r="B152" s="198"/>
      <c r="C152" s="198"/>
      <c r="D152" s="198"/>
      <c r="E152" s="198"/>
      <c r="F152" s="198"/>
      <c r="G152" s="199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9"/>
      <c r="W152" s="198"/>
      <c r="X152" s="198"/>
      <c r="Y152" s="198"/>
      <c r="Z152" s="198"/>
      <c r="AA152" s="198"/>
      <c r="AB152" s="198"/>
      <c r="AC152" s="198"/>
      <c r="AD152" s="198"/>
      <c r="AE152" s="198"/>
      <c r="AF152" s="198"/>
      <c r="AG152" s="198"/>
      <c r="AH152" s="198"/>
    </row>
    <row r="153" ht="15.75" customHeight="1">
      <c r="A153" s="198"/>
      <c r="B153" s="198"/>
      <c r="C153" s="198"/>
      <c r="D153" s="198"/>
      <c r="E153" s="198"/>
      <c r="F153" s="198"/>
      <c r="G153" s="199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9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</row>
    <row r="154" ht="15.75" customHeight="1">
      <c r="A154" s="198"/>
      <c r="B154" s="198"/>
      <c r="C154" s="198"/>
      <c r="D154" s="198"/>
      <c r="E154" s="198"/>
      <c r="F154" s="198"/>
      <c r="G154" s="199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9"/>
      <c r="W154" s="198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198"/>
    </row>
    <row r="155" ht="15.75" customHeight="1">
      <c r="A155" s="198"/>
      <c r="B155" s="198"/>
      <c r="C155" s="198"/>
      <c r="D155" s="198"/>
      <c r="E155" s="198"/>
      <c r="F155" s="198"/>
      <c r="G155" s="199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9"/>
      <c r="W155" s="198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</row>
    <row r="156" ht="15.75" customHeight="1">
      <c r="A156" s="198"/>
      <c r="B156" s="198"/>
      <c r="C156" s="198"/>
      <c r="D156" s="198"/>
      <c r="E156" s="198"/>
      <c r="F156" s="198"/>
      <c r="G156" s="199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9"/>
      <c r="W156" s="198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198"/>
    </row>
    <row r="157" ht="15.75" customHeight="1">
      <c r="A157" s="198"/>
      <c r="B157" s="198"/>
      <c r="C157" s="198"/>
      <c r="D157" s="198"/>
      <c r="E157" s="198"/>
      <c r="F157" s="198"/>
      <c r="G157" s="199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9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</row>
    <row r="158" ht="15.75" customHeight="1">
      <c r="A158" s="198"/>
      <c r="B158" s="198"/>
      <c r="C158" s="198"/>
      <c r="D158" s="198"/>
      <c r="E158" s="198"/>
      <c r="F158" s="198"/>
      <c r="G158" s="199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9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198"/>
    </row>
    <row r="159" ht="15.75" customHeight="1">
      <c r="A159" s="198"/>
      <c r="B159" s="198"/>
      <c r="C159" s="198"/>
      <c r="D159" s="198"/>
      <c r="E159" s="198"/>
      <c r="F159" s="198"/>
      <c r="G159" s="199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9"/>
      <c r="W159" s="198"/>
      <c r="X159" s="198"/>
      <c r="Y159" s="198"/>
      <c r="Z159" s="198"/>
      <c r="AA159" s="198"/>
      <c r="AB159" s="198"/>
      <c r="AC159" s="198"/>
      <c r="AD159" s="198"/>
      <c r="AE159" s="198"/>
      <c r="AF159" s="198"/>
      <c r="AG159" s="198"/>
      <c r="AH159" s="198"/>
    </row>
    <row r="160" ht="15.75" customHeight="1">
      <c r="A160" s="198"/>
      <c r="B160" s="198"/>
      <c r="C160" s="198"/>
      <c r="D160" s="198"/>
      <c r="E160" s="198"/>
      <c r="F160" s="198"/>
      <c r="G160" s="199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9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</row>
    <row r="161" ht="15.75" customHeight="1">
      <c r="A161" s="198"/>
      <c r="B161" s="198"/>
      <c r="C161" s="198"/>
      <c r="D161" s="198"/>
      <c r="E161" s="198"/>
      <c r="F161" s="198"/>
      <c r="G161" s="199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9"/>
      <c r="W161" s="198"/>
      <c r="X161" s="198"/>
      <c r="Y161" s="198"/>
      <c r="Z161" s="198"/>
      <c r="AA161" s="198"/>
      <c r="AB161" s="198"/>
      <c r="AC161" s="198"/>
      <c r="AD161" s="198"/>
      <c r="AE161" s="198"/>
      <c r="AF161" s="198"/>
      <c r="AG161" s="198"/>
      <c r="AH161" s="198"/>
    </row>
    <row r="162" ht="15.75" customHeight="1">
      <c r="A162" s="198"/>
      <c r="B162" s="198"/>
      <c r="C162" s="198"/>
      <c r="D162" s="198"/>
      <c r="E162" s="198"/>
      <c r="F162" s="198"/>
      <c r="G162" s="199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9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</row>
    <row r="163" ht="15.75" customHeight="1">
      <c r="A163" s="198"/>
      <c r="B163" s="198"/>
      <c r="C163" s="198"/>
      <c r="D163" s="198"/>
      <c r="E163" s="198"/>
      <c r="F163" s="198"/>
      <c r="G163" s="199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9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198"/>
    </row>
    <row r="164" ht="15.75" customHeight="1">
      <c r="A164" s="198"/>
      <c r="B164" s="198"/>
      <c r="C164" s="198"/>
      <c r="D164" s="198"/>
      <c r="E164" s="198"/>
      <c r="F164" s="198"/>
      <c r="G164" s="199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9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</row>
    <row r="165" ht="15.75" customHeight="1">
      <c r="A165" s="198"/>
      <c r="B165" s="198"/>
      <c r="C165" s="198"/>
      <c r="D165" s="198"/>
      <c r="E165" s="198"/>
      <c r="F165" s="198"/>
      <c r="G165" s="199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9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198"/>
    </row>
    <row r="166" ht="15.75" customHeight="1">
      <c r="A166" s="198"/>
      <c r="B166" s="198"/>
      <c r="C166" s="198"/>
      <c r="D166" s="198"/>
      <c r="E166" s="198"/>
      <c r="F166" s="198"/>
      <c r="G166" s="199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9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198"/>
    </row>
    <row r="167" ht="15.75" customHeight="1">
      <c r="A167" s="198"/>
      <c r="B167" s="198"/>
      <c r="C167" s="198"/>
      <c r="D167" s="198"/>
      <c r="E167" s="198"/>
      <c r="F167" s="198"/>
      <c r="G167" s="199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9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</row>
    <row r="168" ht="15.75" customHeight="1">
      <c r="A168" s="198"/>
      <c r="B168" s="198"/>
      <c r="C168" s="198"/>
      <c r="D168" s="198"/>
      <c r="E168" s="198"/>
      <c r="F168" s="198"/>
      <c r="G168" s="199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9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198"/>
    </row>
    <row r="169" ht="15.75" customHeight="1">
      <c r="A169" s="198"/>
      <c r="B169" s="198"/>
      <c r="C169" s="198"/>
      <c r="D169" s="198"/>
      <c r="E169" s="198"/>
      <c r="F169" s="198"/>
      <c r="G169" s="199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9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198"/>
    </row>
    <row r="170" ht="15.75" customHeight="1">
      <c r="A170" s="198"/>
      <c r="B170" s="198"/>
      <c r="C170" s="198"/>
      <c r="D170" s="198"/>
      <c r="E170" s="198"/>
      <c r="F170" s="198"/>
      <c r="G170" s="199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9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</row>
    <row r="171" ht="15.75" customHeight="1">
      <c r="A171" s="198"/>
      <c r="B171" s="198"/>
      <c r="C171" s="198"/>
      <c r="D171" s="198"/>
      <c r="E171" s="198"/>
      <c r="F171" s="198"/>
      <c r="G171" s="199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9"/>
      <c r="W171" s="198"/>
      <c r="X171" s="198"/>
      <c r="Y171" s="198"/>
      <c r="Z171" s="198"/>
      <c r="AA171" s="198"/>
      <c r="AB171" s="198"/>
      <c r="AC171" s="198"/>
      <c r="AD171" s="198"/>
      <c r="AE171" s="198"/>
      <c r="AF171" s="198"/>
      <c r="AG171" s="198"/>
      <c r="AH171" s="198"/>
    </row>
    <row r="172" ht="15.75" customHeight="1">
      <c r="A172" s="198"/>
      <c r="B172" s="198"/>
      <c r="C172" s="198"/>
      <c r="D172" s="198"/>
      <c r="E172" s="198"/>
      <c r="F172" s="198"/>
      <c r="G172" s="199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9"/>
      <c r="W172" s="198"/>
      <c r="X172" s="198"/>
      <c r="Y172" s="198"/>
      <c r="Z172" s="198"/>
      <c r="AA172" s="198"/>
      <c r="AB172" s="198"/>
      <c r="AC172" s="198"/>
      <c r="AD172" s="198"/>
      <c r="AE172" s="198"/>
      <c r="AF172" s="198"/>
      <c r="AG172" s="198"/>
      <c r="AH172" s="198"/>
    </row>
    <row r="173" ht="15.75" customHeight="1">
      <c r="A173" s="198"/>
      <c r="B173" s="198"/>
      <c r="C173" s="198"/>
      <c r="D173" s="198"/>
      <c r="E173" s="198"/>
      <c r="F173" s="198"/>
      <c r="G173" s="199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9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</row>
    <row r="174" ht="15.75" customHeight="1">
      <c r="A174" s="198"/>
      <c r="B174" s="198"/>
      <c r="C174" s="198"/>
      <c r="D174" s="198"/>
      <c r="E174" s="198"/>
      <c r="F174" s="198"/>
      <c r="G174" s="199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9"/>
      <c r="W174" s="198"/>
      <c r="X174" s="198"/>
      <c r="Y174" s="198"/>
      <c r="Z174" s="198"/>
      <c r="AA174" s="198"/>
      <c r="AB174" s="198"/>
      <c r="AC174" s="198"/>
      <c r="AD174" s="198"/>
      <c r="AE174" s="198"/>
      <c r="AF174" s="198"/>
      <c r="AG174" s="198"/>
      <c r="AH174" s="198"/>
    </row>
    <row r="175" ht="15.75" customHeight="1">
      <c r="A175" s="198"/>
      <c r="B175" s="198"/>
      <c r="C175" s="198"/>
      <c r="D175" s="198"/>
      <c r="E175" s="198"/>
      <c r="F175" s="198"/>
      <c r="G175" s="199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9"/>
      <c r="W175" s="198"/>
      <c r="X175" s="198"/>
      <c r="Y175" s="198"/>
      <c r="Z175" s="198"/>
      <c r="AA175" s="198"/>
      <c r="AB175" s="198"/>
      <c r="AC175" s="198"/>
      <c r="AD175" s="198"/>
      <c r="AE175" s="198"/>
      <c r="AF175" s="198"/>
      <c r="AG175" s="198"/>
      <c r="AH175" s="198"/>
    </row>
    <row r="176" ht="15.75" customHeight="1">
      <c r="A176" s="198"/>
      <c r="B176" s="198"/>
      <c r="C176" s="198"/>
      <c r="D176" s="198"/>
      <c r="E176" s="198"/>
      <c r="F176" s="198"/>
      <c r="G176" s="199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9"/>
      <c r="W176" s="198"/>
      <c r="X176" s="198"/>
      <c r="Y176" s="198"/>
      <c r="Z176" s="198"/>
      <c r="AA176" s="198"/>
      <c r="AB176" s="198"/>
      <c r="AC176" s="198"/>
      <c r="AD176" s="198"/>
      <c r="AE176" s="198"/>
      <c r="AF176" s="198"/>
      <c r="AG176" s="198"/>
      <c r="AH176" s="198"/>
    </row>
    <row r="177" ht="15.75" customHeight="1">
      <c r="A177" s="198"/>
      <c r="B177" s="198"/>
      <c r="C177" s="198"/>
      <c r="D177" s="198"/>
      <c r="E177" s="198"/>
      <c r="F177" s="198"/>
      <c r="G177" s="199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9"/>
      <c r="W177" s="198"/>
      <c r="X177" s="198"/>
      <c r="Y177" s="198"/>
      <c r="Z177" s="198"/>
      <c r="AA177" s="198"/>
      <c r="AB177" s="198"/>
      <c r="AC177" s="198"/>
      <c r="AD177" s="198"/>
      <c r="AE177" s="198"/>
      <c r="AF177" s="198"/>
      <c r="AG177" s="198"/>
      <c r="AH177" s="198"/>
    </row>
    <row r="178" ht="15.75" customHeight="1">
      <c r="A178" s="198"/>
      <c r="B178" s="198"/>
      <c r="C178" s="198"/>
      <c r="D178" s="198"/>
      <c r="E178" s="198"/>
      <c r="F178" s="198"/>
      <c r="G178" s="199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9"/>
      <c r="W178" s="198"/>
      <c r="X178" s="198"/>
      <c r="Y178" s="198"/>
      <c r="Z178" s="198"/>
      <c r="AA178" s="198"/>
      <c r="AB178" s="198"/>
      <c r="AC178" s="198"/>
      <c r="AD178" s="198"/>
      <c r="AE178" s="198"/>
      <c r="AF178" s="198"/>
      <c r="AG178" s="198"/>
      <c r="AH178" s="198"/>
    </row>
    <row r="179" ht="15.75" customHeight="1">
      <c r="A179" s="198"/>
      <c r="B179" s="198"/>
      <c r="C179" s="198"/>
      <c r="D179" s="198"/>
      <c r="E179" s="198"/>
      <c r="F179" s="198"/>
      <c r="G179" s="199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9"/>
      <c r="W179" s="198"/>
      <c r="X179" s="198"/>
      <c r="Y179" s="198"/>
      <c r="Z179" s="198"/>
      <c r="AA179" s="198"/>
      <c r="AB179" s="198"/>
      <c r="AC179" s="198"/>
      <c r="AD179" s="198"/>
      <c r="AE179" s="198"/>
      <c r="AF179" s="198"/>
      <c r="AG179" s="198"/>
      <c r="AH179" s="198"/>
    </row>
    <row r="180" ht="15.75" customHeight="1">
      <c r="A180" s="198"/>
      <c r="B180" s="198"/>
      <c r="C180" s="198"/>
      <c r="D180" s="198"/>
      <c r="E180" s="198"/>
      <c r="F180" s="198"/>
      <c r="G180" s="199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9"/>
      <c r="W180" s="198"/>
      <c r="X180" s="198"/>
      <c r="Y180" s="198"/>
      <c r="Z180" s="198"/>
      <c r="AA180" s="198"/>
      <c r="AB180" s="198"/>
      <c r="AC180" s="198"/>
      <c r="AD180" s="198"/>
      <c r="AE180" s="198"/>
      <c r="AF180" s="198"/>
      <c r="AG180" s="198"/>
      <c r="AH180" s="198"/>
    </row>
    <row r="181" ht="15.75" customHeight="1">
      <c r="A181" s="198"/>
      <c r="B181" s="198"/>
      <c r="C181" s="198"/>
      <c r="D181" s="198"/>
      <c r="E181" s="198"/>
      <c r="F181" s="198"/>
      <c r="G181" s="199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9"/>
      <c r="W181" s="198"/>
      <c r="X181" s="198"/>
      <c r="Y181" s="198"/>
      <c r="Z181" s="198"/>
      <c r="AA181" s="198"/>
      <c r="AB181" s="198"/>
      <c r="AC181" s="198"/>
      <c r="AD181" s="198"/>
      <c r="AE181" s="198"/>
      <c r="AF181" s="198"/>
      <c r="AG181" s="198"/>
      <c r="AH181" s="198"/>
    </row>
    <row r="182" ht="15.75" customHeight="1">
      <c r="A182" s="198"/>
      <c r="B182" s="198"/>
      <c r="C182" s="198"/>
      <c r="D182" s="198"/>
      <c r="E182" s="198"/>
      <c r="F182" s="198"/>
      <c r="G182" s="199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9"/>
      <c r="W182" s="198"/>
      <c r="X182" s="198"/>
      <c r="Y182" s="198"/>
      <c r="Z182" s="198"/>
      <c r="AA182" s="198"/>
      <c r="AB182" s="198"/>
      <c r="AC182" s="198"/>
      <c r="AD182" s="198"/>
      <c r="AE182" s="198"/>
      <c r="AF182" s="198"/>
      <c r="AG182" s="198"/>
      <c r="AH182" s="198"/>
    </row>
    <row r="183" ht="15.75" customHeight="1">
      <c r="A183" s="198"/>
      <c r="B183" s="198"/>
      <c r="C183" s="198"/>
      <c r="D183" s="198"/>
      <c r="E183" s="198"/>
      <c r="F183" s="198"/>
      <c r="G183" s="199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9"/>
      <c r="W183" s="198"/>
      <c r="X183" s="198"/>
      <c r="Y183" s="198"/>
      <c r="Z183" s="198"/>
      <c r="AA183" s="198"/>
      <c r="AB183" s="198"/>
      <c r="AC183" s="198"/>
      <c r="AD183" s="198"/>
      <c r="AE183" s="198"/>
      <c r="AF183" s="198"/>
      <c r="AG183" s="198"/>
      <c r="AH183" s="198"/>
    </row>
    <row r="184" ht="15.75" customHeight="1">
      <c r="A184" s="198"/>
      <c r="B184" s="198"/>
      <c r="C184" s="198"/>
      <c r="D184" s="198"/>
      <c r="E184" s="198"/>
      <c r="F184" s="198"/>
      <c r="G184" s="199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9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</row>
    <row r="185" ht="15.75" customHeight="1">
      <c r="A185" s="198"/>
      <c r="B185" s="198"/>
      <c r="C185" s="198"/>
      <c r="D185" s="198"/>
      <c r="E185" s="198"/>
      <c r="F185" s="198"/>
      <c r="G185" s="199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9"/>
      <c r="W185" s="198"/>
      <c r="X185" s="198"/>
      <c r="Y185" s="198"/>
      <c r="Z185" s="198"/>
      <c r="AA185" s="198"/>
      <c r="AB185" s="198"/>
      <c r="AC185" s="198"/>
      <c r="AD185" s="198"/>
      <c r="AE185" s="198"/>
      <c r="AF185" s="198"/>
      <c r="AG185" s="198"/>
      <c r="AH185" s="198"/>
    </row>
    <row r="186" ht="15.75" customHeight="1">
      <c r="A186" s="198"/>
      <c r="B186" s="198"/>
      <c r="C186" s="198"/>
      <c r="D186" s="198"/>
      <c r="E186" s="198"/>
      <c r="F186" s="198"/>
      <c r="G186" s="199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9"/>
      <c r="W186" s="198"/>
      <c r="X186" s="198"/>
      <c r="Y186" s="198"/>
      <c r="Z186" s="198"/>
      <c r="AA186" s="198"/>
      <c r="AB186" s="198"/>
      <c r="AC186" s="198"/>
      <c r="AD186" s="198"/>
      <c r="AE186" s="198"/>
      <c r="AF186" s="198"/>
      <c r="AG186" s="198"/>
      <c r="AH186" s="198"/>
    </row>
    <row r="187" ht="15.75" customHeight="1">
      <c r="A187" s="198"/>
      <c r="B187" s="198"/>
      <c r="C187" s="198"/>
      <c r="D187" s="198"/>
      <c r="E187" s="198"/>
      <c r="F187" s="198"/>
      <c r="G187" s="199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9"/>
      <c r="W187" s="198"/>
      <c r="X187" s="198"/>
      <c r="Y187" s="198"/>
      <c r="Z187" s="198"/>
      <c r="AA187" s="198"/>
      <c r="AB187" s="198"/>
      <c r="AC187" s="198"/>
      <c r="AD187" s="198"/>
      <c r="AE187" s="198"/>
      <c r="AF187" s="198"/>
      <c r="AG187" s="198"/>
      <c r="AH187" s="198"/>
    </row>
    <row r="188" ht="15.75" customHeight="1">
      <c r="A188" s="198"/>
      <c r="B188" s="198"/>
      <c r="C188" s="198"/>
      <c r="D188" s="198"/>
      <c r="E188" s="198"/>
      <c r="F188" s="198"/>
      <c r="G188" s="199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9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</row>
    <row r="189" ht="15.75" customHeight="1">
      <c r="A189" s="198"/>
      <c r="B189" s="198"/>
      <c r="C189" s="198"/>
      <c r="D189" s="198"/>
      <c r="E189" s="198"/>
      <c r="F189" s="198"/>
      <c r="G189" s="199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9"/>
      <c r="W189" s="198"/>
      <c r="X189" s="198"/>
      <c r="Y189" s="198"/>
      <c r="Z189" s="198"/>
      <c r="AA189" s="198"/>
      <c r="AB189" s="198"/>
      <c r="AC189" s="198"/>
      <c r="AD189" s="198"/>
      <c r="AE189" s="198"/>
      <c r="AF189" s="198"/>
      <c r="AG189" s="198"/>
      <c r="AH189" s="198"/>
    </row>
    <row r="190" ht="15.75" customHeight="1">
      <c r="A190" s="198"/>
      <c r="B190" s="198"/>
      <c r="C190" s="198"/>
      <c r="D190" s="198"/>
      <c r="E190" s="198"/>
      <c r="F190" s="198"/>
      <c r="G190" s="199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9"/>
      <c r="W190" s="198"/>
      <c r="X190" s="198"/>
      <c r="Y190" s="198"/>
      <c r="Z190" s="198"/>
      <c r="AA190" s="198"/>
      <c r="AB190" s="198"/>
      <c r="AC190" s="198"/>
      <c r="AD190" s="198"/>
      <c r="AE190" s="198"/>
      <c r="AF190" s="198"/>
      <c r="AG190" s="198"/>
      <c r="AH190" s="198"/>
    </row>
    <row r="191" ht="15.75" customHeight="1">
      <c r="A191" s="198"/>
      <c r="B191" s="198"/>
      <c r="C191" s="198"/>
      <c r="D191" s="198"/>
      <c r="E191" s="198"/>
      <c r="F191" s="198"/>
      <c r="G191" s="199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9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</row>
    <row r="192" ht="15.75" customHeight="1">
      <c r="A192" s="198"/>
      <c r="B192" s="198"/>
      <c r="C192" s="198"/>
      <c r="D192" s="198"/>
      <c r="E192" s="198"/>
      <c r="F192" s="198"/>
      <c r="G192" s="199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9"/>
      <c r="W192" s="198"/>
      <c r="X192" s="198"/>
      <c r="Y192" s="198"/>
      <c r="Z192" s="198"/>
      <c r="AA192" s="198"/>
      <c r="AB192" s="198"/>
      <c r="AC192" s="198"/>
      <c r="AD192" s="198"/>
      <c r="AE192" s="198"/>
      <c r="AF192" s="198"/>
      <c r="AG192" s="198"/>
      <c r="AH192" s="198"/>
    </row>
    <row r="193" ht="15.75" customHeight="1">
      <c r="A193" s="198"/>
      <c r="B193" s="198"/>
      <c r="C193" s="198"/>
      <c r="D193" s="198"/>
      <c r="E193" s="198"/>
      <c r="F193" s="198"/>
      <c r="G193" s="199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9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</row>
    <row r="194" ht="15.75" customHeight="1">
      <c r="A194" s="198"/>
      <c r="B194" s="198"/>
      <c r="C194" s="198"/>
      <c r="D194" s="198"/>
      <c r="E194" s="198"/>
      <c r="F194" s="198"/>
      <c r="G194" s="199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9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</row>
    <row r="195" ht="15.75" customHeight="1">
      <c r="A195" s="198"/>
      <c r="B195" s="198"/>
      <c r="C195" s="198"/>
      <c r="D195" s="198"/>
      <c r="E195" s="198"/>
      <c r="F195" s="198"/>
      <c r="G195" s="199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9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</row>
    <row r="196" ht="15.75" customHeight="1">
      <c r="A196" s="198"/>
      <c r="B196" s="198"/>
      <c r="C196" s="198"/>
      <c r="D196" s="198"/>
      <c r="E196" s="198"/>
      <c r="F196" s="198"/>
      <c r="G196" s="199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9"/>
      <c r="W196" s="198"/>
      <c r="X196" s="198"/>
      <c r="Y196" s="198"/>
      <c r="Z196" s="198"/>
      <c r="AA196" s="198"/>
      <c r="AB196" s="198"/>
      <c r="AC196" s="198"/>
      <c r="AD196" s="198"/>
      <c r="AE196" s="198"/>
      <c r="AF196" s="198"/>
      <c r="AG196" s="198"/>
      <c r="AH196" s="198"/>
    </row>
    <row r="197" ht="15.75" customHeight="1">
      <c r="A197" s="198"/>
      <c r="B197" s="198"/>
      <c r="C197" s="198"/>
      <c r="D197" s="198"/>
      <c r="E197" s="198"/>
      <c r="F197" s="198"/>
      <c r="G197" s="199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9"/>
      <c r="W197" s="198"/>
      <c r="X197" s="198"/>
      <c r="Y197" s="198"/>
      <c r="Z197" s="198"/>
      <c r="AA197" s="198"/>
      <c r="AB197" s="198"/>
      <c r="AC197" s="198"/>
      <c r="AD197" s="198"/>
      <c r="AE197" s="198"/>
      <c r="AF197" s="198"/>
      <c r="AG197" s="198"/>
      <c r="AH197" s="198"/>
    </row>
    <row r="198" ht="15.75" customHeight="1">
      <c r="A198" s="198"/>
      <c r="B198" s="198"/>
      <c r="C198" s="198"/>
      <c r="D198" s="198"/>
      <c r="E198" s="198"/>
      <c r="F198" s="198"/>
      <c r="G198" s="199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9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</row>
    <row r="199" ht="15.75" customHeight="1">
      <c r="A199" s="198"/>
      <c r="B199" s="198"/>
      <c r="C199" s="198"/>
      <c r="D199" s="198"/>
      <c r="E199" s="198"/>
      <c r="F199" s="198"/>
      <c r="G199" s="199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9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</row>
    <row r="200" ht="15.75" customHeight="1">
      <c r="A200" s="198"/>
      <c r="B200" s="198"/>
      <c r="C200" s="198"/>
      <c r="D200" s="198"/>
      <c r="E200" s="198"/>
      <c r="F200" s="198"/>
      <c r="G200" s="199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9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</row>
    <row r="201" ht="15.75" customHeight="1">
      <c r="A201" s="198"/>
      <c r="B201" s="198"/>
      <c r="C201" s="198"/>
      <c r="D201" s="198"/>
      <c r="E201" s="198"/>
      <c r="F201" s="198"/>
      <c r="G201" s="199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9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</row>
    <row r="202" ht="15.75" customHeight="1">
      <c r="A202" s="198"/>
      <c r="B202" s="198"/>
      <c r="C202" s="198"/>
      <c r="D202" s="198"/>
      <c r="E202" s="198"/>
      <c r="F202" s="198"/>
      <c r="G202" s="199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9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</row>
    <row r="203" ht="15.75" customHeight="1">
      <c r="A203" s="198"/>
      <c r="B203" s="198"/>
      <c r="C203" s="198"/>
      <c r="D203" s="198"/>
      <c r="E203" s="198"/>
      <c r="F203" s="198"/>
      <c r="G203" s="199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9"/>
      <c r="W203" s="198"/>
      <c r="X203" s="198"/>
      <c r="Y203" s="198"/>
      <c r="Z203" s="198"/>
      <c r="AA203" s="198"/>
      <c r="AB203" s="198"/>
      <c r="AC203" s="198"/>
      <c r="AD203" s="198"/>
      <c r="AE203" s="198"/>
      <c r="AF203" s="198"/>
      <c r="AG203" s="198"/>
      <c r="AH203" s="198"/>
    </row>
    <row r="204" ht="15.75" customHeight="1">
      <c r="A204" s="198"/>
      <c r="B204" s="198"/>
      <c r="C204" s="198"/>
      <c r="D204" s="198"/>
      <c r="E204" s="198"/>
      <c r="F204" s="198"/>
      <c r="G204" s="199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9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</row>
    <row r="205" ht="15.75" customHeight="1">
      <c r="A205" s="198"/>
      <c r="B205" s="198"/>
      <c r="C205" s="198"/>
      <c r="D205" s="198"/>
      <c r="E205" s="198"/>
      <c r="F205" s="198"/>
      <c r="G205" s="199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9"/>
      <c r="W205" s="198"/>
      <c r="X205" s="198"/>
      <c r="Y205" s="198"/>
      <c r="Z205" s="198"/>
      <c r="AA205" s="198"/>
      <c r="AB205" s="198"/>
      <c r="AC205" s="198"/>
      <c r="AD205" s="198"/>
      <c r="AE205" s="198"/>
      <c r="AF205" s="198"/>
      <c r="AG205" s="198"/>
      <c r="AH205" s="198"/>
    </row>
    <row r="206" ht="15.75" customHeight="1">
      <c r="A206" s="198"/>
      <c r="B206" s="198"/>
      <c r="C206" s="198"/>
      <c r="D206" s="198"/>
      <c r="E206" s="198"/>
      <c r="F206" s="198"/>
      <c r="G206" s="199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9"/>
      <c r="W206" s="198"/>
      <c r="X206" s="198"/>
      <c r="Y206" s="198"/>
      <c r="Z206" s="198"/>
      <c r="AA206" s="198"/>
      <c r="AB206" s="198"/>
      <c r="AC206" s="198"/>
      <c r="AD206" s="198"/>
      <c r="AE206" s="198"/>
      <c r="AF206" s="198"/>
      <c r="AG206" s="198"/>
      <c r="AH206" s="198"/>
    </row>
    <row r="207" ht="15.75" customHeight="1">
      <c r="A207" s="198"/>
      <c r="B207" s="198"/>
      <c r="C207" s="198"/>
      <c r="D207" s="198"/>
      <c r="E207" s="198"/>
      <c r="F207" s="198"/>
      <c r="G207" s="199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9"/>
      <c r="W207" s="198"/>
      <c r="X207" s="198"/>
      <c r="Y207" s="198"/>
      <c r="Z207" s="198"/>
      <c r="AA207" s="198"/>
      <c r="AB207" s="198"/>
      <c r="AC207" s="198"/>
      <c r="AD207" s="198"/>
      <c r="AE207" s="198"/>
      <c r="AF207" s="198"/>
      <c r="AG207" s="198"/>
      <c r="AH207" s="198"/>
    </row>
    <row r="208" ht="15.75" customHeight="1">
      <c r="A208" s="198"/>
      <c r="B208" s="198"/>
      <c r="C208" s="198"/>
      <c r="D208" s="198"/>
      <c r="E208" s="198"/>
      <c r="F208" s="198"/>
      <c r="G208" s="199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9"/>
      <c r="W208" s="198"/>
      <c r="X208" s="198"/>
      <c r="Y208" s="198"/>
      <c r="Z208" s="198"/>
      <c r="AA208" s="198"/>
      <c r="AB208" s="198"/>
      <c r="AC208" s="198"/>
      <c r="AD208" s="198"/>
      <c r="AE208" s="198"/>
      <c r="AF208" s="198"/>
      <c r="AG208" s="198"/>
      <c r="AH208" s="198"/>
    </row>
    <row r="209" ht="15.75" customHeight="1">
      <c r="A209" s="198"/>
      <c r="B209" s="198"/>
      <c r="C209" s="198"/>
      <c r="D209" s="198"/>
      <c r="E209" s="198"/>
      <c r="F209" s="198"/>
      <c r="G209" s="199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9"/>
      <c r="W209" s="198"/>
      <c r="X209" s="198"/>
      <c r="Y209" s="198"/>
      <c r="Z209" s="198"/>
      <c r="AA209" s="198"/>
      <c r="AB209" s="198"/>
      <c r="AC209" s="198"/>
      <c r="AD209" s="198"/>
      <c r="AE209" s="198"/>
      <c r="AF209" s="198"/>
      <c r="AG209" s="198"/>
      <c r="AH209" s="198"/>
    </row>
    <row r="210" ht="15.75" customHeight="1">
      <c r="A210" s="198"/>
      <c r="B210" s="198"/>
      <c r="C210" s="198"/>
      <c r="D210" s="198"/>
      <c r="E210" s="198"/>
      <c r="F210" s="198"/>
      <c r="G210" s="199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9"/>
      <c r="W210" s="198"/>
      <c r="X210" s="198"/>
      <c r="Y210" s="198"/>
      <c r="Z210" s="198"/>
      <c r="AA210" s="198"/>
      <c r="AB210" s="198"/>
      <c r="AC210" s="198"/>
      <c r="AD210" s="198"/>
      <c r="AE210" s="198"/>
      <c r="AF210" s="198"/>
      <c r="AG210" s="198"/>
      <c r="AH210" s="198"/>
    </row>
    <row r="211" ht="15.75" customHeight="1">
      <c r="A211" s="198"/>
      <c r="B211" s="198"/>
      <c r="C211" s="198"/>
      <c r="D211" s="198"/>
      <c r="E211" s="198"/>
      <c r="F211" s="198"/>
      <c r="G211" s="199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9"/>
      <c r="W211" s="198"/>
      <c r="X211" s="198"/>
      <c r="Y211" s="198"/>
      <c r="Z211" s="198"/>
      <c r="AA211" s="198"/>
      <c r="AB211" s="198"/>
      <c r="AC211" s="198"/>
      <c r="AD211" s="198"/>
      <c r="AE211" s="198"/>
      <c r="AF211" s="198"/>
      <c r="AG211" s="198"/>
      <c r="AH211" s="198"/>
    </row>
    <row r="212" ht="15.75" customHeight="1">
      <c r="A212" s="198"/>
      <c r="B212" s="198"/>
      <c r="C212" s="198"/>
      <c r="D212" s="198"/>
      <c r="E212" s="198"/>
      <c r="F212" s="198"/>
      <c r="G212" s="199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9"/>
      <c r="W212" s="198"/>
      <c r="X212" s="198"/>
      <c r="Y212" s="198"/>
      <c r="Z212" s="198"/>
      <c r="AA212" s="198"/>
      <c r="AB212" s="198"/>
      <c r="AC212" s="198"/>
      <c r="AD212" s="198"/>
      <c r="AE212" s="198"/>
      <c r="AF212" s="198"/>
      <c r="AG212" s="198"/>
      <c r="AH212" s="198"/>
    </row>
    <row r="213" ht="15.75" customHeight="1">
      <c r="A213" s="198"/>
      <c r="B213" s="198"/>
      <c r="C213" s="198"/>
      <c r="D213" s="198"/>
      <c r="E213" s="198"/>
      <c r="F213" s="198"/>
      <c r="G213" s="199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9"/>
      <c r="W213" s="198"/>
      <c r="X213" s="198"/>
      <c r="Y213" s="198"/>
      <c r="Z213" s="198"/>
      <c r="AA213" s="198"/>
      <c r="AB213" s="198"/>
      <c r="AC213" s="198"/>
      <c r="AD213" s="198"/>
      <c r="AE213" s="198"/>
      <c r="AF213" s="198"/>
      <c r="AG213" s="198"/>
      <c r="AH213" s="198"/>
    </row>
    <row r="214" ht="15.75" customHeight="1">
      <c r="A214" s="198"/>
      <c r="B214" s="198"/>
      <c r="C214" s="198"/>
      <c r="D214" s="198"/>
      <c r="E214" s="198"/>
      <c r="F214" s="198"/>
      <c r="G214" s="199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9"/>
      <c r="W214" s="198"/>
      <c r="X214" s="198"/>
      <c r="Y214" s="198"/>
      <c r="Z214" s="198"/>
      <c r="AA214" s="198"/>
      <c r="AB214" s="198"/>
      <c r="AC214" s="198"/>
      <c r="AD214" s="198"/>
      <c r="AE214" s="198"/>
      <c r="AF214" s="198"/>
      <c r="AG214" s="198"/>
      <c r="AH214" s="198"/>
    </row>
    <row r="215" ht="15.75" customHeight="1">
      <c r="A215" s="198"/>
      <c r="B215" s="198"/>
      <c r="C215" s="198"/>
      <c r="D215" s="198"/>
      <c r="E215" s="198"/>
      <c r="F215" s="198"/>
      <c r="G215" s="199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9"/>
      <c r="W215" s="198"/>
      <c r="X215" s="198"/>
      <c r="Y215" s="198"/>
      <c r="Z215" s="198"/>
      <c r="AA215" s="198"/>
      <c r="AB215" s="198"/>
      <c r="AC215" s="198"/>
      <c r="AD215" s="198"/>
      <c r="AE215" s="198"/>
      <c r="AF215" s="198"/>
      <c r="AG215" s="198"/>
      <c r="AH215" s="198"/>
    </row>
    <row r="216" ht="15.75" customHeight="1">
      <c r="A216" s="198"/>
      <c r="B216" s="198"/>
      <c r="C216" s="198"/>
      <c r="D216" s="198"/>
      <c r="E216" s="198"/>
      <c r="F216" s="198"/>
      <c r="G216" s="199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9"/>
      <c r="W216" s="198"/>
      <c r="X216" s="198"/>
      <c r="Y216" s="198"/>
      <c r="Z216" s="198"/>
      <c r="AA216" s="198"/>
      <c r="AB216" s="198"/>
      <c r="AC216" s="198"/>
      <c r="AD216" s="198"/>
      <c r="AE216" s="198"/>
      <c r="AF216" s="198"/>
      <c r="AG216" s="198"/>
      <c r="AH216" s="198"/>
    </row>
    <row r="217" ht="15.75" customHeight="1">
      <c r="A217" s="198"/>
      <c r="B217" s="198"/>
      <c r="C217" s="198"/>
      <c r="D217" s="198"/>
      <c r="E217" s="198"/>
      <c r="F217" s="198"/>
      <c r="G217" s="199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9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</row>
    <row r="218" ht="15.75" customHeight="1">
      <c r="A218" s="198"/>
      <c r="B218" s="198"/>
      <c r="C218" s="198"/>
      <c r="D218" s="198"/>
      <c r="E218" s="198"/>
      <c r="F218" s="198"/>
      <c r="G218" s="199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9"/>
      <c r="W218" s="198"/>
      <c r="X218" s="198"/>
      <c r="Y218" s="198"/>
      <c r="Z218" s="198"/>
      <c r="AA218" s="198"/>
      <c r="AB218" s="198"/>
      <c r="AC218" s="198"/>
      <c r="AD218" s="198"/>
      <c r="AE218" s="198"/>
      <c r="AF218" s="198"/>
      <c r="AG218" s="198"/>
      <c r="AH218" s="198"/>
    </row>
    <row r="219" ht="15.75" customHeight="1">
      <c r="A219" s="198"/>
      <c r="B219" s="198"/>
      <c r="C219" s="198"/>
      <c r="D219" s="198"/>
      <c r="E219" s="198"/>
      <c r="F219" s="198"/>
      <c r="G219" s="199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9"/>
      <c r="W219" s="198"/>
      <c r="X219" s="198"/>
      <c r="Y219" s="198"/>
      <c r="Z219" s="198"/>
      <c r="AA219" s="198"/>
      <c r="AB219" s="198"/>
      <c r="AC219" s="198"/>
      <c r="AD219" s="198"/>
      <c r="AE219" s="198"/>
      <c r="AF219" s="198"/>
      <c r="AG219" s="198"/>
      <c r="AH219" s="198"/>
    </row>
    <row r="220" ht="15.75" customHeight="1">
      <c r="A220" s="198"/>
      <c r="B220" s="198"/>
      <c r="C220" s="198"/>
      <c r="D220" s="198"/>
      <c r="E220" s="198"/>
      <c r="F220" s="198"/>
      <c r="G220" s="199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9"/>
      <c r="W220" s="198"/>
      <c r="X220" s="198"/>
      <c r="Y220" s="198"/>
      <c r="Z220" s="198"/>
      <c r="AA220" s="198"/>
      <c r="AB220" s="198"/>
      <c r="AC220" s="198"/>
      <c r="AD220" s="198"/>
      <c r="AE220" s="198"/>
      <c r="AF220" s="198"/>
      <c r="AG220" s="198"/>
      <c r="AH220" s="198"/>
    </row>
    <row r="221" ht="15.75" customHeight="1">
      <c r="A221" s="198"/>
      <c r="B221" s="198"/>
      <c r="C221" s="198"/>
      <c r="D221" s="198"/>
      <c r="E221" s="198"/>
      <c r="F221" s="198"/>
      <c r="G221" s="199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9"/>
      <c r="W221" s="198"/>
      <c r="X221" s="198"/>
      <c r="Y221" s="198"/>
      <c r="Z221" s="198"/>
      <c r="AA221" s="198"/>
      <c r="AB221" s="198"/>
      <c r="AC221" s="198"/>
      <c r="AD221" s="198"/>
      <c r="AE221" s="198"/>
      <c r="AF221" s="198"/>
      <c r="AG221" s="198"/>
      <c r="AH221" s="198"/>
    </row>
    <row r="222" ht="15.75" customHeight="1">
      <c r="A222" s="198"/>
      <c r="B222" s="198"/>
      <c r="C222" s="198"/>
      <c r="D222" s="198"/>
      <c r="E222" s="198"/>
      <c r="F222" s="198"/>
      <c r="G222" s="199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9"/>
      <c r="W222" s="198"/>
      <c r="X222" s="198"/>
      <c r="Y222" s="198"/>
      <c r="Z222" s="198"/>
      <c r="AA222" s="198"/>
      <c r="AB222" s="198"/>
      <c r="AC222" s="198"/>
      <c r="AD222" s="198"/>
      <c r="AE222" s="198"/>
      <c r="AF222" s="198"/>
      <c r="AG222" s="198"/>
      <c r="AH222" s="198"/>
    </row>
    <row r="223" ht="15.75" customHeight="1">
      <c r="A223" s="198"/>
      <c r="B223" s="198"/>
      <c r="C223" s="198"/>
      <c r="D223" s="198"/>
      <c r="E223" s="198"/>
      <c r="F223" s="198"/>
      <c r="G223" s="199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9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</row>
    <row r="224" ht="15.75" customHeight="1">
      <c r="A224" s="198"/>
      <c r="B224" s="198"/>
      <c r="C224" s="198"/>
      <c r="D224" s="198"/>
      <c r="E224" s="198"/>
      <c r="F224" s="198"/>
      <c r="G224" s="199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9"/>
      <c r="W224" s="198"/>
      <c r="X224" s="198"/>
      <c r="Y224" s="198"/>
      <c r="Z224" s="198"/>
      <c r="AA224" s="198"/>
      <c r="AB224" s="198"/>
      <c r="AC224" s="198"/>
      <c r="AD224" s="198"/>
      <c r="AE224" s="198"/>
      <c r="AF224" s="198"/>
      <c r="AG224" s="198"/>
      <c r="AH224" s="198"/>
    </row>
    <row r="225" ht="15.75" customHeight="1">
      <c r="A225" s="198"/>
      <c r="B225" s="198"/>
      <c r="C225" s="198"/>
      <c r="D225" s="198"/>
      <c r="E225" s="198"/>
      <c r="F225" s="198"/>
      <c r="G225" s="199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9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</row>
    <row r="226" ht="15.75" customHeight="1">
      <c r="A226" s="198"/>
      <c r="B226" s="198"/>
      <c r="C226" s="198"/>
      <c r="D226" s="198"/>
      <c r="E226" s="198"/>
      <c r="F226" s="198"/>
      <c r="G226" s="199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9"/>
      <c r="W226" s="198"/>
      <c r="X226" s="198"/>
      <c r="Y226" s="198"/>
      <c r="Z226" s="198"/>
      <c r="AA226" s="198"/>
      <c r="AB226" s="198"/>
      <c r="AC226" s="198"/>
      <c r="AD226" s="198"/>
      <c r="AE226" s="198"/>
      <c r="AF226" s="198"/>
      <c r="AG226" s="198"/>
      <c r="AH226" s="198"/>
    </row>
    <row r="227" ht="15.75" customHeight="1">
      <c r="A227" s="198"/>
      <c r="B227" s="198"/>
      <c r="C227" s="198"/>
      <c r="D227" s="198"/>
      <c r="E227" s="198"/>
      <c r="F227" s="198"/>
      <c r="G227" s="199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9"/>
      <c r="W227" s="198"/>
      <c r="X227" s="198"/>
      <c r="Y227" s="198"/>
      <c r="Z227" s="198"/>
      <c r="AA227" s="198"/>
      <c r="AB227" s="198"/>
      <c r="AC227" s="198"/>
      <c r="AD227" s="198"/>
      <c r="AE227" s="198"/>
      <c r="AF227" s="198"/>
      <c r="AG227" s="198"/>
      <c r="AH227" s="198"/>
    </row>
    <row r="228" ht="15.75" customHeight="1">
      <c r="A228" s="198"/>
      <c r="B228" s="198"/>
      <c r="C228" s="198"/>
      <c r="D228" s="198"/>
      <c r="E228" s="198"/>
      <c r="F228" s="198"/>
      <c r="G228" s="199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9"/>
      <c r="W228" s="198"/>
      <c r="X228" s="198"/>
      <c r="Y228" s="198"/>
      <c r="Z228" s="198"/>
      <c r="AA228" s="198"/>
      <c r="AB228" s="198"/>
      <c r="AC228" s="198"/>
      <c r="AD228" s="198"/>
      <c r="AE228" s="198"/>
      <c r="AF228" s="198"/>
      <c r="AG228" s="198"/>
      <c r="AH228" s="198"/>
    </row>
    <row r="229" ht="15.75" customHeight="1">
      <c r="A229" s="198"/>
      <c r="B229" s="198"/>
      <c r="C229" s="198"/>
      <c r="D229" s="198"/>
      <c r="E229" s="198"/>
      <c r="F229" s="198"/>
      <c r="G229" s="199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9"/>
      <c r="W229" s="198"/>
      <c r="X229" s="198"/>
      <c r="Y229" s="198"/>
      <c r="Z229" s="198"/>
      <c r="AA229" s="198"/>
      <c r="AB229" s="198"/>
      <c r="AC229" s="198"/>
      <c r="AD229" s="198"/>
      <c r="AE229" s="198"/>
      <c r="AF229" s="198"/>
      <c r="AG229" s="198"/>
      <c r="AH229" s="198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24">
    <mergeCell ref="N2:R2"/>
    <mergeCell ref="M4:R4"/>
    <mergeCell ref="M5:R5"/>
    <mergeCell ref="A1:B1"/>
    <mergeCell ref="C1:D1"/>
    <mergeCell ref="E1:M1"/>
    <mergeCell ref="N1:R1"/>
    <mergeCell ref="C2:D2"/>
    <mergeCell ref="E2:M2"/>
    <mergeCell ref="C3:R3"/>
    <mergeCell ref="C5:D5"/>
    <mergeCell ref="E5:I5"/>
    <mergeCell ref="B21:D21"/>
    <mergeCell ref="B26:D26"/>
    <mergeCell ref="B27:D27"/>
    <mergeCell ref="B28:D28"/>
    <mergeCell ref="B29:D29"/>
    <mergeCell ref="A2:B2"/>
    <mergeCell ref="A3:B3"/>
    <mergeCell ref="A4:B4"/>
    <mergeCell ref="C4:D4"/>
    <mergeCell ref="E4:I4"/>
    <mergeCell ref="J4:L4"/>
    <mergeCell ref="A5:B5"/>
  </mergeCells>
  <dataValidations>
    <dataValidation type="list" allowBlank="1" showInputMessage="1" showErrorMessage="1" prompt=" - " sqref="E27:L27">
      <formula1>"P,F"</formula1>
    </dataValidation>
    <dataValidation type="list" allowBlank="1" showInputMessage="1" showErrorMessage="1" prompt=" - " sqref="E8:L25">
      <formula1>"O"</formula1>
    </dataValidation>
    <dataValidation type="list" allowBlank="1" showInputMessage="1" showErrorMessage="1" prompt=" - " sqref="E26:L26">
      <formula1>"N,A,B"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9.25"/>
    <col customWidth="1" min="4" max="4" width="21.5"/>
    <col customWidth="1" min="5" max="21" width="4.88"/>
  </cols>
  <sheetData>
    <row r="1">
      <c r="A1" s="159" t="s">
        <v>195</v>
      </c>
      <c r="B1" s="160"/>
      <c r="C1" s="161" t="s">
        <v>196</v>
      </c>
      <c r="D1" s="162"/>
      <c r="E1" s="163" t="s">
        <v>197</v>
      </c>
      <c r="F1" s="160"/>
      <c r="G1" s="160"/>
      <c r="H1" s="160"/>
      <c r="I1" s="160"/>
      <c r="J1" s="160"/>
      <c r="K1" s="160"/>
      <c r="L1" s="160"/>
      <c r="M1" s="160"/>
      <c r="N1" s="164" t="s">
        <v>198</v>
      </c>
      <c r="O1" s="160"/>
      <c r="P1" s="160"/>
      <c r="Q1" s="160"/>
      <c r="R1" s="165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</row>
    <row r="2">
      <c r="A2" s="168" t="s">
        <v>199</v>
      </c>
      <c r="B2" s="169"/>
      <c r="C2" s="170" t="s">
        <v>159</v>
      </c>
      <c r="D2" s="169"/>
      <c r="E2" s="171" t="s">
        <v>200</v>
      </c>
      <c r="F2" s="172"/>
      <c r="G2" s="172"/>
      <c r="H2" s="172"/>
      <c r="I2" s="172"/>
      <c r="J2" s="172"/>
      <c r="K2" s="172"/>
      <c r="L2" s="172"/>
      <c r="M2" s="173"/>
      <c r="N2" s="174" t="s">
        <v>159</v>
      </c>
      <c r="O2" s="172"/>
      <c r="P2" s="172"/>
      <c r="Q2" s="172"/>
      <c r="R2" s="175"/>
      <c r="S2" s="178"/>
      <c r="T2" s="178"/>
      <c r="U2" s="178"/>
      <c r="V2" s="260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</row>
    <row r="3">
      <c r="A3" s="179" t="s">
        <v>201</v>
      </c>
      <c r="B3" s="17"/>
      <c r="C3" s="180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81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</row>
    <row r="4">
      <c r="A4" s="183" t="s">
        <v>164</v>
      </c>
      <c r="B4" s="17"/>
      <c r="C4" s="184" t="s">
        <v>165</v>
      </c>
      <c r="D4" s="17"/>
      <c r="E4" s="184" t="s">
        <v>166</v>
      </c>
      <c r="F4" s="16"/>
      <c r="G4" s="16"/>
      <c r="H4" s="16"/>
      <c r="I4" s="16"/>
      <c r="J4" s="185" t="s">
        <v>202</v>
      </c>
      <c r="K4" s="16"/>
      <c r="L4" s="16"/>
      <c r="M4" s="184" t="s">
        <v>169</v>
      </c>
      <c r="N4" s="16"/>
      <c r="O4" s="16"/>
      <c r="P4" s="16"/>
      <c r="Q4" s="16"/>
      <c r="R4" s="181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</row>
    <row r="5">
      <c r="A5" s="188">
        <f>COUNTIF(E38:IA38,"P")</f>
        <v>8</v>
      </c>
      <c r="B5" s="189"/>
      <c r="C5" s="190">
        <f>COUNTIF(E38:IA38,"F")</f>
        <v>0</v>
      </c>
      <c r="D5" s="189"/>
      <c r="E5" s="191">
        <f>SUM(M5,-A5,-C5)</f>
        <v>0</v>
      </c>
      <c r="F5" s="192"/>
      <c r="G5" s="192"/>
      <c r="H5" s="192"/>
      <c r="I5" s="192"/>
      <c r="J5" s="193">
        <f>COUNTIF(A37:HW37,"N")</f>
        <v>2</v>
      </c>
      <c r="K5" s="193">
        <f>COUNTIF(B37:HX37,"A")</f>
        <v>5</v>
      </c>
      <c r="L5" s="193">
        <f>COUNTIF(C37:HY37,"B")</f>
        <v>1</v>
      </c>
      <c r="M5" s="190">
        <f>COUNTA(A7:HO7)</f>
        <v>8</v>
      </c>
      <c r="N5" s="192"/>
      <c r="O5" s="192"/>
      <c r="P5" s="192"/>
      <c r="Q5" s="192"/>
      <c r="R5" s="194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</row>
    <row r="6">
      <c r="A6" s="198"/>
      <c r="B6" s="198"/>
      <c r="C6" s="198"/>
      <c r="D6" s="198"/>
      <c r="E6" s="198"/>
      <c r="F6" s="198"/>
      <c r="G6" s="199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</row>
    <row r="7" ht="48.0" customHeight="1">
      <c r="A7" s="200"/>
      <c r="B7" s="201"/>
      <c r="C7" s="201"/>
      <c r="D7" s="201"/>
      <c r="E7" s="202" t="s">
        <v>203</v>
      </c>
      <c r="F7" s="202" t="s">
        <v>204</v>
      </c>
      <c r="G7" s="202" t="s">
        <v>205</v>
      </c>
      <c r="H7" s="202" t="s">
        <v>206</v>
      </c>
      <c r="I7" s="202" t="s">
        <v>207</v>
      </c>
      <c r="J7" s="202" t="s">
        <v>208</v>
      </c>
      <c r="K7" s="202" t="s">
        <v>209</v>
      </c>
      <c r="L7" s="202" t="s">
        <v>210</v>
      </c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261"/>
      <c r="X7" s="198"/>
      <c r="Y7" s="198"/>
      <c r="Z7" s="198"/>
      <c r="AA7" s="198"/>
      <c r="AB7" s="203"/>
      <c r="AC7" s="203"/>
      <c r="AD7" s="203"/>
      <c r="AE7" s="203"/>
      <c r="AF7" s="203"/>
      <c r="AG7" s="203"/>
      <c r="AH7" s="203"/>
    </row>
    <row r="8">
      <c r="A8" s="204" t="s">
        <v>219</v>
      </c>
      <c r="B8" s="205" t="s">
        <v>220</v>
      </c>
      <c r="C8" s="262"/>
      <c r="D8" s="263"/>
      <c r="E8" s="264"/>
      <c r="F8" s="264"/>
      <c r="G8" s="209"/>
      <c r="H8" s="264"/>
      <c r="I8" s="264"/>
      <c r="J8" s="264"/>
      <c r="K8" s="264"/>
      <c r="L8" s="264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9"/>
      <c r="X8" s="199"/>
      <c r="Y8" s="199"/>
      <c r="Z8" s="199"/>
      <c r="AA8" s="199"/>
      <c r="AB8" s="265"/>
      <c r="AC8" s="265"/>
      <c r="AD8" s="265"/>
      <c r="AE8" s="265"/>
      <c r="AF8" s="265"/>
      <c r="AG8" s="265"/>
      <c r="AH8" s="265"/>
    </row>
    <row r="9">
      <c r="A9" s="266"/>
      <c r="B9" s="267"/>
      <c r="C9" s="268"/>
      <c r="D9" s="213" t="s">
        <v>221</v>
      </c>
      <c r="E9" s="214" t="s">
        <v>222</v>
      </c>
      <c r="F9" s="214" t="s">
        <v>222</v>
      </c>
      <c r="G9" s="214" t="s">
        <v>222</v>
      </c>
      <c r="H9" s="214" t="s">
        <v>222</v>
      </c>
      <c r="I9" s="214" t="s">
        <v>222</v>
      </c>
      <c r="J9" s="214" t="s">
        <v>222</v>
      </c>
      <c r="K9" s="214" t="s">
        <v>222</v>
      </c>
      <c r="L9" s="214" t="s">
        <v>222</v>
      </c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269"/>
      <c r="X9" s="199"/>
      <c r="Y9" s="199"/>
      <c r="Z9" s="199"/>
      <c r="AA9" s="199"/>
      <c r="AB9" s="265"/>
      <c r="AC9" s="265"/>
      <c r="AD9" s="265"/>
      <c r="AE9" s="265"/>
      <c r="AF9" s="265"/>
      <c r="AG9" s="265"/>
      <c r="AH9" s="265"/>
    </row>
    <row r="10">
      <c r="A10" s="220"/>
      <c r="B10" s="215" t="s">
        <v>260</v>
      </c>
      <c r="C10" s="292" t="s">
        <v>261</v>
      </c>
      <c r="D10" s="293" t="s">
        <v>262</v>
      </c>
      <c r="E10" s="214" t="s">
        <v>222</v>
      </c>
      <c r="F10" s="222"/>
      <c r="G10" s="222"/>
      <c r="H10" s="222"/>
      <c r="I10" s="222"/>
      <c r="J10" s="223"/>
      <c r="K10" s="223"/>
      <c r="L10" s="223" t="s">
        <v>222</v>
      </c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9"/>
      <c r="X10" s="198"/>
      <c r="Y10" s="198"/>
      <c r="Z10" s="198"/>
      <c r="AA10" s="198"/>
      <c r="AB10" s="198"/>
      <c r="AC10" s="198"/>
      <c r="AD10" s="203"/>
      <c r="AE10" s="203"/>
      <c r="AF10" s="203"/>
      <c r="AG10" s="203"/>
      <c r="AH10" s="265"/>
    </row>
    <row r="11">
      <c r="A11" s="220"/>
      <c r="B11" s="294"/>
      <c r="C11" s="292" t="s">
        <v>263</v>
      </c>
      <c r="D11" s="293"/>
      <c r="E11" s="222"/>
      <c r="F11" s="222"/>
      <c r="G11" s="222"/>
      <c r="H11" s="222"/>
      <c r="I11" s="222"/>
      <c r="J11" s="223"/>
      <c r="K11" s="223"/>
      <c r="L11" s="223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9"/>
      <c r="X11" s="198"/>
      <c r="Y11" s="198"/>
      <c r="Z11" s="198"/>
      <c r="AA11" s="198"/>
      <c r="AB11" s="198"/>
      <c r="AC11" s="198"/>
      <c r="AD11" s="203"/>
      <c r="AE11" s="203"/>
      <c r="AF11" s="203"/>
      <c r="AG11" s="203"/>
      <c r="AH11" s="265"/>
    </row>
    <row r="12">
      <c r="A12" s="220"/>
      <c r="B12" s="294"/>
      <c r="C12" s="292" t="s">
        <v>264</v>
      </c>
      <c r="D12" s="293"/>
      <c r="E12" s="295" t="s">
        <v>222</v>
      </c>
      <c r="F12" s="222"/>
      <c r="G12" s="222"/>
      <c r="H12" s="222"/>
      <c r="I12" s="222"/>
      <c r="J12" s="223"/>
      <c r="K12" s="223"/>
      <c r="L12" s="223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9"/>
      <c r="X12" s="198"/>
      <c r="Y12" s="198"/>
      <c r="Z12" s="198"/>
      <c r="AA12" s="198"/>
      <c r="AB12" s="198"/>
      <c r="AC12" s="198"/>
      <c r="AD12" s="203"/>
      <c r="AE12" s="203"/>
      <c r="AF12" s="203"/>
      <c r="AG12" s="203"/>
      <c r="AH12" s="265"/>
    </row>
    <row r="13">
      <c r="A13" s="220"/>
      <c r="B13" s="296"/>
      <c r="C13" s="292" t="s">
        <v>265</v>
      </c>
      <c r="D13" s="293"/>
      <c r="E13" s="222"/>
      <c r="F13" s="222"/>
      <c r="G13" s="222"/>
      <c r="H13" s="222"/>
      <c r="I13" s="222"/>
      <c r="J13" s="223"/>
      <c r="K13" s="223"/>
      <c r="L13" s="223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9"/>
      <c r="X13" s="198"/>
      <c r="Y13" s="198"/>
      <c r="Z13" s="198"/>
      <c r="AA13" s="198"/>
      <c r="AB13" s="198"/>
      <c r="AC13" s="198"/>
      <c r="AD13" s="203"/>
      <c r="AE13" s="203"/>
      <c r="AF13" s="203"/>
      <c r="AG13" s="203"/>
      <c r="AH13" s="265"/>
    </row>
    <row r="14">
      <c r="A14" s="220"/>
      <c r="B14" s="296"/>
      <c r="C14" s="292" t="s">
        <v>266</v>
      </c>
      <c r="D14" s="293"/>
      <c r="E14" s="222"/>
      <c r="F14" s="222"/>
      <c r="G14" s="222"/>
      <c r="H14" s="222"/>
      <c r="I14" s="222"/>
      <c r="J14" s="223"/>
      <c r="K14" s="223"/>
      <c r="L14" s="223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9"/>
      <c r="X14" s="198"/>
      <c r="Y14" s="198"/>
      <c r="Z14" s="198"/>
      <c r="AA14" s="198"/>
      <c r="AB14" s="198"/>
      <c r="AC14" s="198"/>
      <c r="AD14" s="203"/>
      <c r="AE14" s="203"/>
      <c r="AF14" s="203"/>
      <c r="AG14" s="203"/>
      <c r="AH14" s="265"/>
    </row>
    <row r="15">
      <c r="A15" s="220"/>
      <c r="B15" s="296"/>
      <c r="C15" s="292" t="s">
        <v>267</v>
      </c>
      <c r="D15" s="293"/>
      <c r="E15" s="222"/>
      <c r="F15" s="222"/>
      <c r="G15" s="222"/>
      <c r="H15" s="222"/>
      <c r="I15" s="222"/>
      <c r="J15" s="223"/>
      <c r="K15" s="223"/>
      <c r="L15" s="223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9"/>
      <c r="X15" s="198"/>
      <c r="Y15" s="198"/>
      <c r="Z15" s="198"/>
      <c r="AA15" s="198"/>
      <c r="AB15" s="198"/>
      <c r="AC15" s="198"/>
      <c r="AD15" s="203"/>
      <c r="AE15" s="203"/>
      <c r="AF15" s="203"/>
      <c r="AG15" s="203"/>
      <c r="AH15" s="265"/>
    </row>
    <row r="16">
      <c r="A16" s="270"/>
      <c r="B16" s="221" t="s">
        <v>223</v>
      </c>
      <c r="C16" s="271"/>
      <c r="D16" s="213"/>
      <c r="E16" s="272"/>
      <c r="F16" s="224"/>
      <c r="G16" s="224"/>
      <c r="H16" s="272"/>
      <c r="I16" s="272"/>
      <c r="J16" s="272"/>
      <c r="K16" s="272"/>
      <c r="L16" s="272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9"/>
      <c r="X16" s="199"/>
      <c r="Y16" s="199"/>
      <c r="Z16" s="199"/>
      <c r="AA16" s="199"/>
      <c r="AB16" s="199"/>
      <c r="AC16" s="265"/>
      <c r="AD16" s="265"/>
      <c r="AE16" s="265"/>
      <c r="AF16" s="265"/>
      <c r="AG16" s="265"/>
      <c r="AH16" s="265"/>
    </row>
    <row r="17">
      <c r="A17" s="210"/>
      <c r="B17" s="211"/>
      <c r="C17" s="217" t="s">
        <v>224</v>
      </c>
      <c r="D17" s="213" t="s">
        <v>268</v>
      </c>
      <c r="E17" s="214" t="s">
        <v>222</v>
      </c>
      <c r="F17" s="214"/>
      <c r="G17" s="209"/>
      <c r="H17" s="209"/>
      <c r="I17" s="209"/>
      <c r="J17" s="209"/>
      <c r="K17" s="209"/>
      <c r="L17" s="20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9"/>
      <c r="X17" s="198"/>
      <c r="Y17" s="198"/>
      <c r="Z17" s="198"/>
      <c r="AA17" s="198"/>
      <c r="AB17" s="203"/>
      <c r="AC17" s="203"/>
      <c r="AD17" s="203"/>
      <c r="AE17" s="203"/>
      <c r="AF17" s="265"/>
      <c r="AG17" s="265"/>
      <c r="AH17" s="265"/>
    </row>
    <row r="18">
      <c r="A18" s="210"/>
      <c r="B18" s="211"/>
      <c r="C18" s="217" t="s">
        <v>227</v>
      </c>
      <c r="D18" s="213" t="s">
        <v>269</v>
      </c>
      <c r="E18" s="208"/>
      <c r="F18" s="209" t="s">
        <v>222</v>
      </c>
      <c r="G18" s="214"/>
      <c r="H18" s="214"/>
      <c r="I18" s="214"/>
      <c r="J18" s="214"/>
      <c r="K18" s="208"/>
      <c r="L18" s="209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9"/>
      <c r="X18" s="198"/>
      <c r="Y18" s="198"/>
      <c r="Z18" s="198"/>
      <c r="AA18" s="198"/>
      <c r="AB18" s="203"/>
      <c r="AC18" s="203"/>
      <c r="AD18" s="203"/>
      <c r="AE18" s="203"/>
      <c r="AF18" s="265"/>
      <c r="AG18" s="265"/>
      <c r="AH18" s="265"/>
    </row>
    <row r="19">
      <c r="A19" s="210"/>
      <c r="B19" s="211"/>
      <c r="C19" s="217" t="s">
        <v>226</v>
      </c>
      <c r="D19" s="213" t="s">
        <v>270</v>
      </c>
      <c r="E19" s="208"/>
      <c r="F19" s="208"/>
      <c r="G19" s="214" t="s">
        <v>222</v>
      </c>
      <c r="H19" s="214"/>
      <c r="I19" s="214"/>
      <c r="J19" s="214"/>
      <c r="K19" s="208"/>
      <c r="L19" s="20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9"/>
      <c r="X19" s="198"/>
      <c r="Y19" s="198"/>
      <c r="Z19" s="198"/>
      <c r="AA19" s="198"/>
      <c r="AB19" s="203"/>
      <c r="AC19" s="203"/>
      <c r="AD19" s="203"/>
      <c r="AE19" s="203"/>
      <c r="AF19" s="265"/>
      <c r="AG19" s="265"/>
      <c r="AH19" s="265"/>
    </row>
    <row r="20">
      <c r="A20" s="210"/>
      <c r="B20" s="211"/>
      <c r="C20" s="217" t="s">
        <v>229</v>
      </c>
      <c r="D20" s="213" t="s">
        <v>230</v>
      </c>
      <c r="E20" s="208"/>
      <c r="F20" s="208"/>
      <c r="G20" s="208"/>
      <c r="H20" s="209" t="s">
        <v>222</v>
      </c>
      <c r="I20" s="209"/>
      <c r="J20" s="209"/>
      <c r="K20" s="214"/>
      <c r="L20" s="20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9"/>
      <c r="X20" s="198"/>
      <c r="Y20" s="198"/>
      <c r="Z20" s="198"/>
      <c r="AA20" s="198"/>
      <c r="AB20" s="203"/>
      <c r="AC20" s="203"/>
      <c r="AD20" s="203"/>
      <c r="AE20" s="203"/>
      <c r="AF20" s="265"/>
      <c r="AG20" s="265"/>
      <c r="AH20" s="265"/>
    </row>
    <row r="21">
      <c r="A21" s="220"/>
      <c r="B21" s="211"/>
      <c r="C21" s="271" t="s">
        <v>271</v>
      </c>
      <c r="D21" s="213" t="s">
        <v>272</v>
      </c>
      <c r="E21" s="222"/>
      <c r="F21" s="222"/>
      <c r="G21" s="222"/>
      <c r="H21" s="222"/>
      <c r="I21" s="223" t="s">
        <v>222</v>
      </c>
      <c r="J21" s="222"/>
      <c r="K21" s="222"/>
      <c r="L21" s="222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9"/>
      <c r="X21" s="198"/>
      <c r="Y21" s="198"/>
      <c r="Z21" s="198"/>
      <c r="AA21" s="198"/>
      <c r="AB21" s="203"/>
      <c r="AC21" s="203"/>
      <c r="AD21" s="203"/>
      <c r="AE21" s="203"/>
      <c r="AF21" s="265"/>
      <c r="AG21" s="265"/>
      <c r="AH21" s="265"/>
    </row>
    <row r="22">
      <c r="A22" s="220"/>
      <c r="B22" s="211"/>
      <c r="C22" s="271" t="s">
        <v>273</v>
      </c>
      <c r="D22" s="213" t="s">
        <v>274</v>
      </c>
      <c r="E22" s="222"/>
      <c r="F22" s="222"/>
      <c r="G22" s="222"/>
      <c r="H22" s="222"/>
      <c r="I22" s="222"/>
      <c r="J22" s="223" t="s">
        <v>222</v>
      </c>
      <c r="K22" s="222"/>
      <c r="L22" s="222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9"/>
      <c r="X22" s="198"/>
      <c r="Y22" s="198"/>
      <c r="Z22" s="198"/>
      <c r="AA22" s="198"/>
      <c r="AB22" s="198"/>
      <c r="AC22" s="198"/>
      <c r="AD22" s="203"/>
      <c r="AE22" s="203"/>
      <c r="AF22" s="203"/>
      <c r="AG22" s="203"/>
      <c r="AH22" s="265"/>
    </row>
    <row r="23">
      <c r="A23" s="220"/>
      <c r="B23" s="211"/>
      <c r="C23" s="271" t="s">
        <v>275</v>
      </c>
      <c r="D23" s="213" t="s">
        <v>276</v>
      </c>
      <c r="E23" s="222"/>
      <c r="F23" s="222"/>
      <c r="G23" s="222"/>
      <c r="H23" s="222"/>
      <c r="I23" s="222"/>
      <c r="J23" s="223"/>
      <c r="K23" s="223" t="s">
        <v>222</v>
      </c>
      <c r="L23" s="222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9"/>
      <c r="X23" s="198"/>
      <c r="Y23" s="198"/>
      <c r="Z23" s="198"/>
      <c r="AA23" s="198"/>
      <c r="AB23" s="198"/>
      <c r="AC23" s="198"/>
      <c r="AD23" s="203"/>
      <c r="AE23" s="203"/>
      <c r="AF23" s="203"/>
      <c r="AG23" s="203"/>
      <c r="AH23" s="265"/>
    </row>
    <row r="24">
      <c r="A24" s="226" t="s">
        <v>238</v>
      </c>
      <c r="B24" s="227" t="s">
        <v>239</v>
      </c>
      <c r="C24" s="228"/>
      <c r="D24" s="229"/>
      <c r="E24" s="272"/>
      <c r="F24" s="272"/>
      <c r="G24" s="223"/>
      <c r="H24" s="272"/>
      <c r="I24" s="272"/>
      <c r="J24" s="272"/>
      <c r="K24" s="272"/>
      <c r="L24" s="272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9"/>
      <c r="X24" s="199"/>
      <c r="Y24" s="199"/>
      <c r="Z24" s="199"/>
      <c r="AA24" s="199"/>
      <c r="AB24" s="265"/>
      <c r="AC24" s="265"/>
      <c r="AD24" s="265"/>
      <c r="AE24" s="265"/>
      <c r="AF24" s="265"/>
      <c r="AG24" s="265"/>
      <c r="AH24" s="265"/>
    </row>
    <row r="25">
      <c r="A25" s="273"/>
      <c r="B25" s="231"/>
      <c r="C25" s="228"/>
      <c r="D25" s="232" t="b">
        <v>1</v>
      </c>
      <c r="E25" s="214" t="s">
        <v>222</v>
      </c>
      <c r="F25" s="209" t="s">
        <v>222</v>
      </c>
      <c r="G25" s="209"/>
      <c r="H25" s="264"/>
      <c r="I25" s="264"/>
      <c r="J25" s="264"/>
      <c r="K25" s="264"/>
      <c r="L25" s="209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9"/>
      <c r="X25" s="199"/>
      <c r="Y25" s="199"/>
      <c r="Z25" s="199"/>
      <c r="AA25" s="199"/>
      <c r="AB25" s="265"/>
      <c r="AC25" s="265"/>
      <c r="AD25" s="265"/>
      <c r="AE25" s="265"/>
      <c r="AF25" s="265"/>
      <c r="AG25" s="265"/>
      <c r="AH25" s="265"/>
    </row>
    <row r="26" ht="15.75" customHeight="1">
      <c r="A26" s="273"/>
      <c r="B26" s="234"/>
      <c r="C26" s="235"/>
      <c r="D26" s="232" t="b">
        <v>0</v>
      </c>
      <c r="E26" s="274"/>
      <c r="F26" s="276"/>
      <c r="G26" s="276" t="s">
        <v>222</v>
      </c>
      <c r="H26" s="276" t="s">
        <v>222</v>
      </c>
      <c r="I26" s="276" t="s">
        <v>222</v>
      </c>
      <c r="J26" s="276" t="s">
        <v>222</v>
      </c>
      <c r="K26" s="276" t="s">
        <v>222</v>
      </c>
      <c r="L26" s="276" t="s">
        <v>222</v>
      </c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9"/>
      <c r="X26" s="199"/>
      <c r="Y26" s="199"/>
      <c r="Z26" s="199"/>
      <c r="AA26" s="199"/>
      <c r="AB26" s="265"/>
      <c r="AC26" s="265"/>
      <c r="AD26" s="265"/>
      <c r="AE26" s="265"/>
      <c r="AF26" s="265"/>
      <c r="AG26" s="265"/>
      <c r="AH26" s="265"/>
    </row>
    <row r="27" ht="15.75" customHeight="1">
      <c r="A27" s="273"/>
      <c r="B27" s="236" t="s">
        <v>240</v>
      </c>
      <c r="C27" s="277"/>
      <c r="D27" s="278"/>
      <c r="E27" s="279"/>
      <c r="F27" s="272"/>
      <c r="G27" s="223"/>
      <c r="H27" s="272"/>
      <c r="I27" s="272"/>
      <c r="J27" s="272"/>
      <c r="K27" s="272"/>
      <c r="L27" s="272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9"/>
      <c r="X27" s="199"/>
      <c r="Y27" s="199"/>
      <c r="Z27" s="199"/>
      <c r="AA27" s="199"/>
      <c r="AB27" s="265"/>
      <c r="AC27" s="265"/>
      <c r="AD27" s="265"/>
      <c r="AE27" s="265"/>
      <c r="AF27" s="265"/>
      <c r="AG27" s="265"/>
      <c r="AH27" s="265"/>
    </row>
    <row r="28" ht="15.75" customHeight="1">
      <c r="A28" s="273"/>
      <c r="B28" s="237"/>
      <c r="C28" s="280"/>
      <c r="D28" s="281"/>
      <c r="E28" s="279"/>
      <c r="F28" s="272"/>
      <c r="G28" s="223"/>
      <c r="H28" s="272"/>
      <c r="I28" s="272"/>
      <c r="J28" s="272"/>
      <c r="K28" s="272"/>
      <c r="L28" s="272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9"/>
      <c r="X28" s="199"/>
      <c r="Y28" s="199"/>
      <c r="Z28" s="199"/>
      <c r="AA28" s="199"/>
      <c r="AB28" s="265"/>
      <c r="AC28" s="265"/>
      <c r="AD28" s="265"/>
      <c r="AE28" s="265"/>
      <c r="AF28" s="265"/>
      <c r="AG28" s="265"/>
      <c r="AH28" s="265"/>
    </row>
    <row r="29" ht="15.75" customHeight="1">
      <c r="A29" s="273"/>
      <c r="B29" s="238"/>
      <c r="C29" s="16"/>
      <c r="D29" s="17"/>
      <c r="E29" s="279"/>
      <c r="F29" s="272"/>
      <c r="G29" s="223"/>
      <c r="H29" s="272"/>
      <c r="I29" s="272"/>
      <c r="J29" s="272"/>
      <c r="K29" s="272"/>
      <c r="L29" s="272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9"/>
      <c r="X29" s="199"/>
      <c r="Y29" s="199"/>
      <c r="Z29" s="199"/>
      <c r="AA29" s="199"/>
      <c r="AB29" s="265"/>
      <c r="AC29" s="265"/>
      <c r="AD29" s="265"/>
      <c r="AE29" s="265"/>
      <c r="AF29" s="265"/>
      <c r="AG29" s="265"/>
      <c r="AH29" s="265"/>
    </row>
    <row r="30" ht="15.75" customHeight="1">
      <c r="A30" s="273"/>
      <c r="B30" s="227" t="s">
        <v>241</v>
      </c>
      <c r="C30" s="228"/>
      <c r="D30" s="229"/>
      <c r="E30" s="279"/>
      <c r="F30" s="272"/>
      <c r="G30" s="223"/>
      <c r="H30" s="272"/>
      <c r="I30" s="272"/>
      <c r="J30" s="272"/>
      <c r="K30" s="272"/>
      <c r="L30" s="272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9"/>
      <c r="X30" s="199"/>
      <c r="Y30" s="199"/>
      <c r="Z30" s="199"/>
      <c r="AA30" s="199"/>
      <c r="AB30" s="265"/>
      <c r="AC30" s="265"/>
      <c r="AD30" s="265"/>
      <c r="AE30" s="265"/>
      <c r="AF30" s="265"/>
      <c r="AG30" s="265"/>
      <c r="AH30" s="265"/>
    </row>
    <row r="31" ht="21.75" customHeight="1">
      <c r="A31" s="282"/>
      <c r="B31" s="283"/>
      <c r="C31" s="284"/>
      <c r="D31" s="285" t="s">
        <v>277</v>
      </c>
      <c r="E31" s="286" t="s">
        <v>222</v>
      </c>
      <c r="F31" s="223" t="s">
        <v>222</v>
      </c>
      <c r="G31" s="223"/>
      <c r="H31" s="224"/>
      <c r="I31" s="223"/>
      <c r="J31" s="224"/>
      <c r="K31" s="224"/>
      <c r="L31" s="223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9"/>
      <c r="X31" s="199"/>
      <c r="Y31" s="199"/>
      <c r="Z31" s="199"/>
      <c r="AA31" s="199"/>
      <c r="AB31" s="265"/>
      <c r="AC31" s="265"/>
      <c r="AD31" s="265"/>
      <c r="AE31" s="265"/>
      <c r="AF31" s="265"/>
      <c r="AG31" s="265"/>
      <c r="AH31" s="265"/>
    </row>
    <row r="32" ht="21.75" customHeight="1">
      <c r="A32" s="287"/>
      <c r="B32" s="288"/>
      <c r="C32" s="289"/>
      <c r="D32" s="290" t="s">
        <v>278</v>
      </c>
      <c r="E32" s="291"/>
      <c r="F32" s="209"/>
      <c r="G32" s="209"/>
      <c r="H32" s="214" t="s">
        <v>222</v>
      </c>
      <c r="I32" s="264"/>
      <c r="J32" s="214"/>
      <c r="K32" s="214"/>
      <c r="L32" s="264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9"/>
      <c r="X32" s="199"/>
      <c r="Y32" s="199"/>
      <c r="Z32" s="199"/>
      <c r="AA32" s="199"/>
      <c r="AB32" s="265"/>
      <c r="AC32" s="265"/>
      <c r="AD32" s="265"/>
      <c r="AE32" s="265"/>
      <c r="AF32" s="265"/>
      <c r="AG32" s="265"/>
      <c r="AH32" s="265"/>
    </row>
    <row r="33" ht="15.75" customHeight="1">
      <c r="A33" s="287"/>
      <c r="B33" s="288"/>
      <c r="C33" s="289"/>
      <c r="D33" s="290" t="s">
        <v>279</v>
      </c>
      <c r="E33" s="291"/>
      <c r="F33" s="264"/>
      <c r="G33" s="209"/>
      <c r="H33" s="264"/>
      <c r="I33" s="264"/>
      <c r="J33" s="264"/>
      <c r="K33" s="264"/>
      <c r="L33" s="264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9"/>
      <c r="X33" s="199"/>
      <c r="Y33" s="199"/>
      <c r="Z33" s="199"/>
      <c r="AA33" s="199"/>
      <c r="AB33" s="265"/>
      <c r="AC33" s="265"/>
      <c r="AD33" s="265"/>
      <c r="AE33" s="265"/>
      <c r="AF33" s="265"/>
      <c r="AG33" s="265"/>
      <c r="AH33" s="265"/>
    </row>
    <row r="34" ht="21.75" customHeight="1">
      <c r="A34" s="297"/>
      <c r="B34" s="180"/>
      <c r="C34" s="298"/>
      <c r="D34" s="290" t="s">
        <v>280</v>
      </c>
      <c r="E34" s="299"/>
      <c r="F34" s="208"/>
      <c r="G34" s="209" t="s">
        <v>222</v>
      </c>
      <c r="H34" s="209"/>
      <c r="I34" s="209"/>
      <c r="J34" s="209"/>
      <c r="K34" s="209"/>
      <c r="L34" s="214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203"/>
      <c r="AA34" s="203"/>
      <c r="AB34" s="203"/>
      <c r="AC34" s="203"/>
      <c r="AD34" s="265"/>
      <c r="AE34" s="265"/>
      <c r="AF34" s="265"/>
      <c r="AG34" s="265"/>
      <c r="AH34" s="265"/>
    </row>
    <row r="35" ht="15.75" customHeight="1">
      <c r="A35" s="297"/>
      <c r="B35" s="300"/>
      <c r="C35" s="239"/>
      <c r="D35" s="301" t="s">
        <v>258</v>
      </c>
      <c r="E35" s="299"/>
      <c r="F35" s="208"/>
      <c r="G35" s="208"/>
      <c r="H35" s="209"/>
      <c r="I35" s="209" t="s">
        <v>222</v>
      </c>
      <c r="J35" s="209"/>
      <c r="K35" s="209"/>
      <c r="L35" s="209" t="s">
        <v>222</v>
      </c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203"/>
      <c r="AA35" s="203"/>
      <c r="AB35" s="203"/>
      <c r="AC35" s="203"/>
      <c r="AD35" s="265"/>
      <c r="AE35" s="265"/>
      <c r="AF35" s="265"/>
      <c r="AG35" s="265"/>
      <c r="AH35" s="265"/>
    </row>
    <row r="36" ht="15.75" customHeight="1">
      <c r="A36" s="241"/>
      <c r="B36" s="300"/>
      <c r="C36" s="239"/>
      <c r="D36" s="242" t="s">
        <v>259</v>
      </c>
      <c r="E36" s="208"/>
      <c r="F36" s="208"/>
      <c r="G36" s="214"/>
      <c r="H36" s="214"/>
      <c r="I36" s="214"/>
      <c r="J36" s="214"/>
      <c r="K36" s="214" t="s">
        <v>222</v>
      </c>
      <c r="L36" s="209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203"/>
      <c r="AB36" s="203"/>
      <c r="AC36" s="203"/>
      <c r="AD36" s="203"/>
      <c r="AE36" s="265"/>
      <c r="AF36" s="265"/>
      <c r="AG36" s="265"/>
      <c r="AH36" s="265"/>
    </row>
    <row r="37" ht="15.75" customHeight="1">
      <c r="A37" s="226" t="s">
        <v>249</v>
      </c>
      <c r="B37" s="245" t="s">
        <v>250</v>
      </c>
      <c r="C37" s="246"/>
      <c r="D37" s="247"/>
      <c r="E37" s="248" t="s">
        <v>167</v>
      </c>
      <c r="F37" s="248" t="s">
        <v>167</v>
      </c>
      <c r="G37" s="248" t="s">
        <v>62</v>
      </c>
      <c r="H37" s="248" t="s">
        <v>62</v>
      </c>
      <c r="I37" s="248" t="s">
        <v>62</v>
      </c>
      <c r="J37" s="248" t="s">
        <v>168</v>
      </c>
      <c r="K37" s="248" t="s">
        <v>62</v>
      </c>
      <c r="L37" s="248" t="s">
        <v>62</v>
      </c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203"/>
      <c r="AC37" s="203"/>
      <c r="AD37" s="203"/>
      <c r="AE37" s="203"/>
      <c r="AF37" s="203"/>
      <c r="AG37" s="203"/>
      <c r="AH37" s="203"/>
    </row>
    <row r="38" ht="15.75" customHeight="1">
      <c r="A38" s="241"/>
      <c r="B38" s="249" t="s">
        <v>251</v>
      </c>
      <c r="C38" s="16"/>
      <c r="D38" s="17"/>
      <c r="E38" s="250" t="s">
        <v>252</v>
      </c>
      <c r="F38" s="250" t="s">
        <v>252</v>
      </c>
      <c r="G38" s="250" t="s">
        <v>252</v>
      </c>
      <c r="H38" s="250" t="s">
        <v>252</v>
      </c>
      <c r="I38" s="250" t="s">
        <v>252</v>
      </c>
      <c r="J38" s="250" t="s">
        <v>252</v>
      </c>
      <c r="K38" s="250" t="s">
        <v>252</v>
      </c>
      <c r="L38" s="250" t="s">
        <v>252</v>
      </c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  <c r="AA38" s="198"/>
      <c r="AB38" s="203"/>
      <c r="AC38" s="203"/>
      <c r="AD38" s="203"/>
      <c r="AE38" s="203"/>
      <c r="AF38" s="203"/>
      <c r="AG38" s="203"/>
      <c r="AH38" s="203"/>
    </row>
    <row r="39" ht="15.75" customHeight="1">
      <c r="A39" s="241"/>
      <c r="B39" s="251" t="s">
        <v>253</v>
      </c>
      <c r="C39" s="16"/>
      <c r="D39" s="17"/>
      <c r="E39" s="252">
        <v>45932.0</v>
      </c>
      <c r="F39" s="252">
        <v>45932.0</v>
      </c>
      <c r="G39" s="252">
        <v>45932.0</v>
      </c>
      <c r="H39" s="252">
        <v>45932.0</v>
      </c>
      <c r="I39" s="252">
        <v>45932.0</v>
      </c>
      <c r="J39" s="252">
        <v>45932.0</v>
      </c>
      <c r="K39" s="252">
        <v>45932.0</v>
      </c>
      <c r="L39" s="252">
        <v>45932.0</v>
      </c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203"/>
      <c r="AC39" s="203"/>
      <c r="AD39" s="203"/>
      <c r="AE39" s="203"/>
      <c r="AF39" s="203"/>
      <c r="AG39" s="203"/>
      <c r="AH39" s="203"/>
    </row>
    <row r="40" ht="74.25" customHeight="1">
      <c r="A40" s="253"/>
      <c r="B40" s="254" t="s">
        <v>254</v>
      </c>
      <c r="C40" s="255"/>
      <c r="D40" s="256"/>
      <c r="E40" s="257"/>
      <c r="F40" s="258"/>
      <c r="G40" s="259"/>
      <c r="H40" s="257"/>
      <c r="I40" s="257"/>
      <c r="J40" s="257"/>
      <c r="K40" s="257"/>
      <c r="L40" s="257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  <c r="AB40" s="203"/>
      <c r="AC40" s="203"/>
      <c r="AD40" s="203"/>
      <c r="AE40" s="203"/>
      <c r="AF40" s="203"/>
      <c r="AG40" s="203"/>
      <c r="AH40" s="203"/>
    </row>
    <row r="41" ht="15.75" customHeight="1">
      <c r="A41" s="198"/>
      <c r="B41" s="198"/>
      <c r="C41" s="198"/>
      <c r="D41" s="198"/>
      <c r="E41" s="198"/>
      <c r="F41" s="198"/>
      <c r="G41" s="199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9"/>
      <c r="W41" s="198"/>
      <c r="X41" s="198"/>
      <c r="Y41" s="198"/>
      <c r="Z41" s="198"/>
      <c r="AA41" s="198"/>
      <c r="AB41" s="198"/>
      <c r="AC41" s="198"/>
      <c r="AD41" s="198"/>
      <c r="AE41" s="198"/>
      <c r="AF41" s="198"/>
      <c r="AG41" s="198"/>
      <c r="AH41" s="198"/>
    </row>
    <row r="42" ht="15.75" customHeight="1">
      <c r="A42" s="198"/>
      <c r="B42" s="198"/>
      <c r="C42" s="198"/>
      <c r="D42" s="198"/>
      <c r="E42" s="198"/>
      <c r="F42" s="198"/>
      <c r="G42" s="199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9"/>
      <c r="W42" s="198"/>
      <c r="X42" s="198"/>
      <c r="Y42" s="198"/>
      <c r="Z42" s="198"/>
      <c r="AA42" s="198"/>
      <c r="AB42" s="198"/>
      <c r="AC42" s="198"/>
      <c r="AD42" s="198"/>
      <c r="AE42" s="198"/>
      <c r="AF42" s="198"/>
      <c r="AG42" s="198"/>
      <c r="AH42" s="198"/>
    </row>
    <row r="43" ht="15.75" customHeight="1">
      <c r="A43" s="198"/>
      <c r="B43" s="198"/>
      <c r="C43" s="198"/>
      <c r="D43" s="198"/>
      <c r="E43" s="198"/>
      <c r="F43" s="198"/>
      <c r="G43" s="199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9"/>
      <c r="W43" s="198"/>
      <c r="X43" s="198"/>
      <c r="Y43" s="198"/>
      <c r="Z43" s="198"/>
      <c r="AA43" s="198"/>
      <c r="AB43" s="198"/>
      <c r="AC43" s="198"/>
      <c r="AD43" s="198"/>
      <c r="AE43" s="198"/>
      <c r="AF43" s="198"/>
      <c r="AG43" s="198"/>
      <c r="AH43" s="198"/>
    </row>
    <row r="44" ht="15.75" customHeight="1">
      <c r="A44" s="198"/>
      <c r="B44" s="198"/>
      <c r="C44" s="198"/>
      <c r="D44" s="198"/>
      <c r="E44" s="198"/>
      <c r="F44" s="198"/>
      <c r="G44" s="199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9"/>
      <c r="W44" s="198"/>
      <c r="X44" s="198"/>
      <c r="Y44" s="198"/>
      <c r="Z44" s="198"/>
      <c r="AA44" s="198"/>
      <c r="AB44" s="198"/>
      <c r="AC44" s="198"/>
      <c r="AD44" s="198"/>
      <c r="AE44" s="198"/>
      <c r="AF44" s="198"/>
      <c r="AG44" s="198"/>
      <c r="AH44" s="198"/>
    </row>
    <row r="45" ht="15.75" customHeight="1">
      <c r="A45" s="198"/>
      <c r="B45" s="198"/>
      <c r="C45" s="198"/>
      <c r="D45" s="198"/>
      <c r="E45" s="198"/>
      <c r="F45" s="198"/>
      <c r="G45" s="199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9"/>
      <c r="W45" s="198"/>
      <c r="X45" s="198"/>
      <c r="Y45" s="198"/>
      <c r="Z45" s="198"/>
      <c r="AA45" s="198"/>
      <c r="AB45" s="198"/>
      <c r="AC45" s="198"/>
      <c r="AD45" s="198"/>
      <c r="AE45" s="198"/>
      <c r="AF45" s="198"/>
      <c r="AG45" s="198"/>
      <c r="AH45" s="198"/>
    </row>
    <row r="46" ht="15.75" customHeight="1">
      <c r="A46" s="198"/>
      <c r="B46" s="198"/>
      <c r="C46" s="198"/>
      <c r="D46" s="198"/>
      <c r="E46" s="198"/>
      <c r="F46" s="198"/>
      <c r="G46" s="199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9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</row>
    <row r="47" ht="15.75" customHeight="1">
      <c r="A47" s="198"/>
      <c r="B47" s="198"/>
      <c r="C47" s="198"/>
      <c r="D47" s="198"/>
      <c r="E47" s="198"/>
      <c r="F47" s="198"/>
      <c r="G47" s="199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9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</row>
    <row r="48" ht="15.75" customHeight="1">
      <c r="A48" s="198"/>
      <c r="B48" s="198"/>
      <c r="C48" s="198"/>
      <c r="D48" s="198"/>
      <c r="E48" s="198"/>
      <c r="F48" s="198"/>
      <c r="G48" s="199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9"/>
      <c r="W48" s="198"/>
      <c r="X48" s="198"/>
      <c r="Y48" s="198"/>
      <c r="Z48" s="198"/>
      <c r="AA48" s="198"/>
      <c r="AB48" s="198"/>
      <c r="AC48" s="198"/>
      <c r="AD48" s="198"/>
      <c r="AE48" s="198"/>
      <c r="AF48" s="198"/>
      <c r="AG48" s="198"/>
      <c r="AH48" s="198"/>
    </row>
    <row r="49" ht="15.75" customHeight="1">
      <c r="A49" s="198"/>
      <c r="B49" s="198"/>
      <c r="C49" s="198"/>
      <c r="D49" s="198"/>
      <c r="E49" s="198"/>
      <c r="F49" s="198"/>
      <c r="G49" s="199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9"/>
      <c r="W49" s="198"/>
      <c r="X49" s="198"/>
      <c r="Y49" s="198"/>
      <c r="Z49" s="198"/>
      <c r="AA49" s="198"/>
      <c r="AB49" s="198"/>
      <c r="AC49" s="198"/>
      <c r="AD49" s="198"/>
      <c r="AE49" s="198"/>
      <c r="AF49" s="198"/>
      <c r="AG49" s="198"/>
      <c r="AH49" s="198"/>
    </row>
    <row r="50" ht="15.75" customHeight="1">
      <c r="A50" s="198"/>
      <c r="B50" s="198"/>
      <c r="C50" s="198"/>
      <c r="D50" s="198"/>
      <c r="E50" s="198"/>
      <c r="F50" s="198"/>
      <c r="G50" s="199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9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</row>
    <row r="51" ht="15.75" customHeight="1">
      <c r="A51" s="198"/>
      <c r="B51" s="198"/>
      <c r="C51" s="198"/>
      <c r="D51" s="198"/>
      <c r="E51" s="198"/>
      <c r="F51" s="198"/>
      <c r="G51" s="199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9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</row>
    <row r="52" ht="15.75" customHeight="1">
      <c r="A52" s="198"/>
      <c r="B52" s="198"/>
      <c r="C52" s="198"/>
      <c r="D52" s="198"/>
      <c r="E52" s="198"/>
      <c r="F52" s="198"/>
      <c r="G52" s="199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9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</row>
    <row r="53" ht="15.75" customHeight="1">
      <c r="A53" s="198"/>
      <c r="B53" s="198"/>
      <c r="C53" s="198"/>
      <c r="D53" s="198"/>
      <c r="E53" s="198"/>
      <c r="F53" s="198"/>
      <c r="G53" s="199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9"/>
      <c r="W53" s="198"/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</row>
    <row r="54" ht="15.75" customHeight="1">
      <c r="A54" s="198"/>
      <c r="B54" s="198"/>
      <c r="C54" s="198"/>
      <c r="D54" s="198"/>
      <c r="E54" s="198"/>
      <c r="F54" s="198"/>
      <c r="G54" s="199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9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</row>
    <row r="55" ht="15.75" customHeight="1">
      <c r="A55" s="198"/>
      <c r="B55" s="198"/>
      <c r="C55" s="198"/>
      <c r="D55" s="198"/>
      <c r="E55" s="198"/>
      <c r="F55" s="198"/>
      <c r="G55" s="199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9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</row>
    <row r="56" ht="15.75" customHeight="1">
      <c r="A56" s="198"/>
      <c r="B56" s="198"/>
      <c r="C56" s="198"/>
      <c r="D56" s="198"/>
      <c r="E56" s="198"/>
      <c r="F56" s="198"/>
      <c r="G56" s="199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9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</row>
    <row r="57" ht="15.75" customHeight="1">
      <c r="A57" s="198"/>
      <c r="B57" s="198"/>
      <c r="C57" s="198"/>
      <c r="D57" s="198"/>
      <c r="E57" s="198"/>
      <c r="F57" s="198"/>
      <c r="G57" s="199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9"/>
      <c r="W57" s="198"/>
      <c r="X57" s="198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</row>
    <row r="58" ht="15.75" customHeight="1">
      <c r="A58" s="198"/>
      <c r="B58" s="198"/>
      <c r="C58" s="198"/>
      <c r="D58" s="198"/>
      <c r="E58" s="198"/>
      <c r="F58" s="198"/>
      <c r="G58" s="199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9"/>
      <c r="W58" s="198"/>
      <c r="X58" s="198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</row>
    <row r="59" ht="15.75" customHeight="1">
      <c r="A59" s="198"/>
      <c r="B59" s="198"/>
      <c r="C59" s="198"/>
      <c r="D59" s="198"/>
      <c r="E59" s="198"/>
      <c r="F59" s="198"/>
      <c r="G59" s="199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9"/>
      <c r="W59" s="198"/>
      <c r="X59" s="198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</row>
    <row r="60" ht="15.75" customHeight="1">
      <c r="A60" s="198"/>
      <c r="B60" s="198"/>
      <c r="C60" s="198"/>
      <c r="D60" s="198"/>
      <c r="E60" s="198"/>
      <c r="F60" s="198"/>
      <c r="G60" s="199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9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</row>
    <row r="61" ht="15.75" customHeight="1">
      <c r="A61" s="198"/>
      <c r="B61" s="198"/>
      <c r="C61" s="198"/>
      <c r="D61" s="198"/>
      <c r="E61" s="198"/>
      <c r="F61" s="198"/>
      <c r="G61" s="199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9"/>
      <c r="W61" s="198"/>
      <c r="X61" s="198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</row>
    <row r="62" ht="15.75" customHeight="1">
      <c r="A62" s="198"/>
      <c r="B62" s="198"/>
      <c r="C62" s="198"/>
      <c r="D62" s="198"/>
      <c r="E62" s="198"/>
      <c r="F62" s="198"/>
      <c r="G62" s="199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9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</row>
    <row r="63" ht="15.75" customHeight="1">
      <c r="A63" s="198"/>
      <c r="B63" s="198"/>
      <c r="C63" s="198"/>
      <c r="D63" s="198"/>
      <c r="E63" s="198"/>
      <c r="F63" s="198"/>
      <c r="G63" s="199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9"/>
      <c r="W63" s="198"/>
      <c r="X63" s="198"/>
      <c r="Y63" s="198"/>
      <c r="Z63" s="198"/>
      <c r="AA63" s="198"/>
      <c r="AB63" s="198"/>
      <c r="AC63" s="198"/>
      <c r="AD63" s="198"/>
      <c r="AE63" s="198"/>
      <c r="AF63" s="198"/>
      <c r="AG63" s="198"/>
      <c r="AH63" s="198"/>
    </row>
    <row r="64" ht="15.75" customHeight="1">
      <c r="A64" s="198"/>
      <c r="B64" s="198"/>
      <c r="C64" s="198"/>
      <c r="D64" s="198"/>
      <c r="E64" s="198"/>
      <c r="F64" s="198"/>
      <c r="G64" s="199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9"/>
      <c r="W64" s="198"/>
      <c r="X64" s="198"/>
      <c r="Y64" s="198"/>
      <c r="Z64" s="198"/>
      <c r="AA64" s="198"/>
      <c r="AB64" s="198"/>
      <c r="AC64" s="198"/>
      <c r="AD64" s="198"/>
      <c r="AE64" s="198"/>
      <c r="AF64" s="198"/>
      <c r="AG64" s="198"/>
      <c r="AH64" s="198"/>
    </row>
    <row r="65" ht="15.75" customHeight="1">
      <c r="A65" s="198"/>
      <c r="B65" s="198"/>
      <c r="C65" s="198"/>
      <c r="D65" s="198"/>
      <c r="E65" s="198"/>
      <c r="F65" s="198"/>
      <c r="G65" s="199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9"/>
      <c r="W65" s="198"/>
      <c r="X65" s="198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</row>
    <row r="66" ht="15.75" customHeight="1">
      <c r="A66" s="198"/>
      <c r="B66" s="198"/>
      <c r="C66" s="198"/>
      <c r="D66" s="198"/>
      <c r="E66" s="198"/>
      <c r="F66" s="198"/>
      <c r="G66" s="199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9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</row>
    <row r="67" ht="15.75" customHeight="1">
      <c r="A67" s="198"/>
      <c r="B67" s="198"/>
      <c r="C67" s="198"/>
      <c r="D67" s="198"/>
      <c r="E67" s="198"/>
      <c r="F67" s="198"/>
      <c r="G67" s="199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9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</row>
    <row r="68" ht="15.75" customHeight="1">
      <c r="A68" s="198"/>
      <c r="B68" s="198"/>
      <c r="C68" s="198"/>
      <c r="D68" s="198"/>
      <c r="E68" s="198"/>
      <c r="F68" s="198"/>
      <c r="G68" s="199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9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  <c r="AH68" s="198"/>
    </row>
    <row r="69" ht="15.75" customHeight="1">
      <c r="A69" s="198"/>
      <c r="B69" s="198"/>
      <c r="C69" s="198"/>
      <c r="D69" s="198"/>
      <c r="E69" s="198"/>
      <c r="F69" s="198"/>
      <c r="G69" s="199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9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</row>
    <row r="70" ht="15.75" customHeight="1">
      <c r="A70" s="198"/>
      <c r="B70" s="198"/>
      <c r="C70" s="198"/>
      <c r="D70" s="198"/>
      <c r="E70" s="198"/>
      <c r="F70" s="198"/>
      <c r="G70" s="199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9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</row>
    <row r="71" ht="15.75" customHeight="1">
      <c r="A71" s="198"/>
      <c r="B71" s="198"/>
      <c r="C71" s="198"/>
      <c r="D71" s="198"/>
      <c r="E71" s="198"/>
      <c r="F71" s="198"/>
      <c r="G71" s="199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</row>
    <row r="72" ht="15.75" customHeight="1">
      <c r="A72" s="198"/>
      <c r="B72" s="198"/>
      <c r="C72" s="198"/>
      <c r="D72" s="198"/>
      <c r="E72" s="198"/>
      <c r="F72" s="198"/>
      <c r="G72" s="199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9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</row>
    <row r="73" ht="15.75" customHeight="1">
      <c r="A73" s="198"/>
      <c r="B73" s="198"/>
      <c r="C73" s="198"/>
      <c r="D73" s="198"/>
      <c r="E73" s="198"/>
      <c r="F73" s="198"/>
      <c r="G73" s="199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9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</row>
    <row r="74" ht="15.75" customHeight="1">
      <c r="A74" s="198"/>
      <c r="B74" s="198"/>
      <c r="C74" s="198"/>
      <c r="D74" s="198"/>
      <c r="E74" s="198"/>
      <c r="F74" s="198"/>
      <c r="G74" s="199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9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</row>
    <row r="75" ht="15.75" customHeight="1">
      <c r="A75" s="198"/>
      <c r="B75" s="198"/>
      <c r="C75" s="198"/>
      <c r="D75" s="198"/>
      <c r="E75" s="198"/>
      <c r="F75" s="198"/>
      <c r="G75" s="199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9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</row>
    <row r="76" ht="15.75" customHeight="1">
      <c r="A76" s="198"/>
      <c r="B76" s="198"/>
      <c r="C76" s="198"/>
      <c r="D76" s="198"/>
      <c r="E76" s="198"/>
      <c r="F76" s="198"/>
      <c r="G76" s="199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9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</row>
    <row r="77" ht="15.75" customHeight="1">
      <c r="A77" s="198"/>
      <c r="B77" s="198"/>
      <c r="C77" s="198"/>
      <c r="D77" s="198"/>
      <c r="E77" s="198"/>
      <c r="F77" s="198"/>
      <c r="G77" s="199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9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</row>
    <row r="78" ht="15.75" customHeight="1">
      <c r="A78" s="198"/>
      <c r="B78" s="198"/>
      <c r="C78" s="198"/>
      <c r="D78" s="198"/>
      <c r="E78" s="198"/>
      <c r="F78" s="198"/>
      <c r="G78" s="199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9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</row>
    <row r="79" ht="15.75" customHeight="1">
      <c r="A79" s="198"/>
      <c r="B79" s="198"/>
      <c r="C79" s="198"/>
      <c r="D79" s="198"/>
      <c r="E79" s="198"/>
      <c r="F79" s="198"/>
      <c r="G79" s="199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9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</row>
    <row r="80" ht="15.75" customHeight="1">
      <c r="A80" s="198"/>
      <c r="B80" s="198"/>
      <c r="C80" s="198"/>
      <c r="D80" s="198"/>
      <c r="E80" s="198"/>
      <c r="F80" s="198"/>
      <c r="G80" s="199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9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</row>
    <row r="81" ht="15.75" customHeight="1">
      <c r="A81" s="198"/>
      <c r="B81" s="198"/>
      <c r="C81" s="198"/>
      <c r="D81" s="198"/>
      <c r="E81" s="198"/>
      <c r="F81" s="198"/>
      <c r="G81" s="199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9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</row>
    <row r="82" ht="15.75" customHeight="1">
      <c r="A82" s="198"/>
      <c r="B82" s="198"/>
      <c r="C82" s="198"/>
      <c r="D82" s="198"/>
      <c r="E82" s="198"/>
      <c r="F82" s="198"/>
      <c r="G82" s="199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9"/>
      <c r="W82" s="198"/>
      <c r="X82" s="198"/>
      <c r="Y82" s="198"/>
      <c r="Z82" s="198"/>
      <c r="AA82" s="198"/>
      <c r="AB82" s="198"/>
      <c r="AC82" s="198"/>
      <c r="AD82" s="198"/>
      <c r="AE82" s="198"/>
      <c r="AF82" s="198"/>
      <c r="AG82" s="198"/>
      <c r="AH82" s="198"/>
    </row>
    <row r="83" ht="15.75" customHeight="1">
      <c r="A83" s="198"/>
      <c r="B83" s="198"/>
      <c r="C83" s="198"/>
      <c r="D83" s="198"/>
      <c r="E83" s="198"/>
      <c r="F83" s="198"/>
      <c r="G83" s="199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9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</row>
    <row r="84" ht="15.75" customHeight="1">
      <c r="A84" s="198"/>
      <c r="B84" s="198"/>
      <c r="C84" s="198"/>
      <c r="D84" s="198"/>
      <c r="E84" s="198"/>
      <c r="F84" s="198"/>
      <c r="G84" s="199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9"/>
      <c r="W84" s="198"/>
      <c r="X84" s="198"/>
      <c r="Y84" s="198"/>
      <c r="Z84" s="198"/>
      <c r="AA84" s="198"/>
      <c r="AB84" s="198"/>
      <c r="AC84" s="198"/>
      <c r="AD84" s="198"/>
      <c r="AE84" s="198"/>
      <c r="AF84" s="198"/>
      <c r="AG84" s="198"/>
      <c r="AH84" s="198"/>
    </row>
    <row r="85" ht="15.75" customHeight="1">
      <c r="A85" s="198"/>
      <c r="B85" s="198"/>
      <c r="C85" s="198"/>
      <c r="D85" s="198"/>
      <c r="E85" s="198"/>
      <c r="F85" s="198"/>
      <c r="G85" s="199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9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198"/>
      <c r="AH85" s="198"/>
    </row>
    <row r="86" ht="15.75" customHeight="1">
      <c r="A86" s="198"/>
      <c r="B86" s="198"/>
      <c r="C86" s="198"/>
      <c r="D86" s="198"/>
      <c r="E86" s="198"/>
      <c r="F86" s="198"/>
      <c r="G86" s="199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9"/>
      <c r="W86" s="198"/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</row>
    <row r="87" ht="15.75" customHeight="1">
      <c r="A87" s="198"/>
      <c r="B87" s="198"/>
      <c r="C87" s="198"/>
      <c r="D87" s="198"/>
      <c r="E87" s="198"/>
      <c r="F87" s="198"/>
      <c r="G87" s="199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9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198"/>
    </row>
    <row r="88" ht="15.75" customHeight="1">
      <c r="A88" s="198"/>
      <c r="B88" s="198"/>
      <c r="C88" s="198"/>
      <c r="D88" s="198"/>
      <c r="E88" s="198"/>
      <c r="F88" s="198"/>
      <c r="G88" s="199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9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198"/>
    </row>
    <row r="89" ht="15.75" customHeight="1">
      <c r="A89" s="198"/>
      <c r="B89" s="198"/>
      <c r="C89" s="198"/>
      <c r="D89" s="198"/>
      <c r="E89" s="198"/>
      <c r="F89" s="198"/>
      <c r="G89" s="199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9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</row>
    <row r="90" ht="15.75" customHeight="1">
      <c r="A90" s="198"/>
      <c r="B90" s="198"/>
      <c r="C90" s="198"/>
      <c r="D90" s="198"/>
      <c r="E90" s="198"/>
      <c r="F90" s="198"/>
      <c r="G90" s="199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9"/>
      <c r="W90" s="198"/>
      <c r="X90" s="198"/>
      <c r="Y90" s="198"/>
      <c r="Z90" s="198"/>
      <c r="AA90" s="198"/>
      <c r="AB90" s="198"/>
      <c r="AC90" s="198"/>
      <c r="AD90" s="198"/>
      <c r="AE90" s="198"/>
      <c r="AF90" s="198"/>
      <c r="AG90" s="198"/>
      <c r="AH90" s="198"/>
    </row>
    <row r="91" ht="15.75" customHeight="1">
      <c r="A91" s="198"/>
      <c r="B91" s="198"/>
      <c r="C91" s="198"/>
      <c r="D91" s="198"/>
      <c r="E91" s="198"/>
      <c r="F91" s="198"/>
      <c r="G91" s="199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9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198"/>
    </row>
    <row r="92" ht="15.75" customHeight="1">
      <c r="A92" s="198"/>
      <c r="B92" s="198"/>
      <c r="C92" s="198"/>
      <c r="D92" s="198"/>
      <c r="E92" s="198"/>
      <c r="F92" s="198"/>
      <c r="G92" s="199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9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198"/>
    </row>
    <row r="93" ht="15.75" customHeight="1">
      <c r="A93" s="198"/>
      <c r="B93" s="198"/>
      <c r="C93" s="198"/>
      <c r="D93" s="198"/>
      <c r="E93" s="198"/>
      <c r="F93" s="198"/>
      <c r="G93" s="199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9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198"/>
      <c r="AH93" s="198"/>
    </row>
    <row r="94" ht="15.75" customHeight="1">
      <c r="A94" s="198"/>
      <c r="B94" s="198"/>
      <c r="C94" s="198"/>
      <c r="D94" s="198"/>
      <c r="E94" s="198"/>
      <c r="F94" s="198"/>
      <c r="G94" s="199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9"/>
      <c r="W94" s="198"/>
      <c r="X94" s="198"/>
      <c r="Y94" s="198"/>
      <c r="Z94" s="198"/>
      <c r="AA94" s="198"/>
      <c r="AB94" s="198"/>
      <c r="AC94" s="198"/>
      <c r="AD94" s="198"/>
      <c r="AE94" s="198"/>
      <c r="AF94" s="198"/>
      <c r="AG94" s="198"/>
      <c r="AH94" s="198"/>
    </row>
    <row r="95" ht="15.75" customHeight="1">
      <c r="A95" s="198"/>
      <c r="B95" s="198"/>
      <c r="C95" s="198"/>
      <c r="D95" s="198"/>
      <c r="E95" s="198"/>
      <c r="F95" s="198"/>
      <c r="G95" s="199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9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</row>
    <row r="96" ht="15.75" customHeight="1">
      <c r="A96" s="198"/>
      <c r="B96" s="198"/>
      <c r="C96" s="198"/>
      <c r="D96" s="198"/>
      <c r="E96" s="198"/>
      <c r="F96" s="198"/>
      <c r="G96" s="199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9"/>
      <c r="W96" s="198"/>
      <c r="X96" s="198"/>
      <c r="Y96" s="198"/>
      <c r="Z96" s="198"/>
      <c r="AA96" s="198"/>
      <c r="AB96" s="198"/>
      <c r="AC96" s="198"/>
      <c r="AD96" s="198"/>
      <c r="AE96" s="198"/>
      <c r="AF96" s="198"/>
      <c r="AG96" s="198"/>
      <c r="AH96" s="198"/>
    </row>
    <row r="97" ht="15.75" customHeight="1">
      <c r="A97" s="198"/>
      <c r="B97" s="198"/>
      <c r="C97" s="198"/>
      <c r="D97" s="198"/>
      <c r="E97" s="198"/>
      <c r="F97" s="198"/>
      <c r="G97" s="199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9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</row>
    <row r="98" ht="15.75" customHeight="1">
      <c r="A98" s="198"/>
      <c r="B98" s="198"/>
      <c r="C98" s="198"/>
      <c r="D98" s="198"/>
      <c r="E98" s="198"/>
      <c r="F98" s="198"/>
      <c r="G98" s="199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9"/>
      <c r="W98" s="198"/>
      <c r="X98" s="198"/>
      <c r="Y98" s="198"/>
      <c r="Z98" s="198"/>
      <c r="AA98" s="198"/>
      <c r="AB98" s="198"/>
      <c r="AC98" s="198"/>
      <c r="AD98" s="198"/>
      <c r="AE98" s="198"/>
      <c r="AF98" s="198"/>
      <c r="AG98" s="198"/>
      <c r="AH98" s="198"/>
    </row>
    <row r="99" ht="15.75" customHeight="1">
      <c r="A99" s="198"/>
      <c r="B99" s="198"/>
      <c r="C99" s="198"/>
      <c r="D99" s="198"/>
      <c r="E99" s="198"/>
      <c r="F99" s="198"/>
      <c r="G99" s="199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9"/>
      <c r="W99" s="198"/>
      <c r="X99" s="198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</row>
    <row r="100" ht="15.75" customHeight="1">
      <c r="A100" s="198"/>
      <c r="B100" s="198"/>
      <c r="C100" s="198"/>
      <c r="D100" s="198"/>
      <c r="E100" s="198"/>
      <c r="F100" s="198"/>
      <c r="G100" s="199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9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</row>
    <row r="101" ht="15.75" customHeight="1">
      <c r="A101" s="198"/>
      <c r="B101" s="198"/>
      <c r="C101" s="198"/>
      <c r="D101" s="198"/>
      <c r="E101" s="198"/>
      <c r="F101" s="198"/>
      <c r="G101" s="199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9"/>
      <c r="W101" s="198"/>
      <c r="X101" s="198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</row>
    <row r="102" ht="15.75" customHeight="1">
      <c r="A102" s="198"/>
      <c r="B102" s="198"/>
      <c r="C102" s="198"/>
      <c r="D102" s="198"/>
      <c r="E102" s="198"/>
      <c r="F102" s="198"/>
      <c r="G102" s="199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9"/>
      <c r="W102" s="198"/>
      <c r="X102" s="198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</row>
    <row r="103" ht="15.75" customHeight="1">
      <c r="A103" s="198"/>
      <c r="B103" s="198"/>
      <c r="C103" s="198"/>
      <c r="D103" s="198"/>
      <c r="E103" s="198"/>
      <c r="F103" s="198"/>
      <c r="G103" s="199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9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</row>
    <row r="104" ht="15.75" customHeight="1">
      <c r="A104" s="198"/>
      <c r="B104" s="198"/>
      <c r="C104" s="198"/>
      <c r="D104" s="198"/>
      <c r="E104" s="198"/>
      <c r="F104" s="198"/>
      <c r="G104" s="199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9"/>
      <c r="W104" s="198"/>
      <c r="X104" s="198"/>
      <c r="Y104" s="198"/>
      <c r="Z104" s="198"/>
      <c r="AA104" s="198"/>
      <c r="AB104" s="198"/>
      <c r="AC104" s="198"/>
      <c r="AD104" s="198"/>
      <c r="AE104" s="198"/>
      <c r="AF104" s="198"/>
      <c r="AG104" s="198"/>
      <c r="AH104" s="198"/>
    </row>
    <row r="105" ht="15.75" customHeight="1">
      <c r="A105" s="198"/>
      <c r="B105" s="198"/>
      <c r="C105" s="198"/>
      <c r="D105" s="198"/>
      <c r="E105" s="198"/>
      <c r="F105" s="198"/>
      <c r="G105" s="199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9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</row>
    <row r="106" ht="15.75" customHeight="1">
      <c r="A106" s="198"/>
      <c r="B106" s="198"/>
      <c r="C106" s="198"/>
      <c r="D106" s="198"/>
      <c r="E106" s="198"/>
      <c r="F106" s="198"/>
      <c r="G106" s="199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9"/>
      <c r="W106" s="198"/>
      <c r="X106" s="198"/>
      <c r="Y106" s="198"/>
      <c r="Z106" s="198"/>
      <c r="AA106" s="198"/>
      <c r="AB106" s="198"/>
      <c r="AC106" s="198"/>
      <c r="AD106" s="198"/>
      <c r="AE106" s="198"/>
      <c r="AF106" s="198"/>
      <c r="AG106" s="198"/>
      <c r="AH106" s="198"/>
    </row>
    <row r="107" ht="15.75" customHeight="1">
      <c r="A107" s="198"/>
      <c r="B107" s="198"/>
      <c r="C107" s="198"/>
      <c r="D107" s="198"/>
      <c r="E107" s="198"/>
      <c r="F107" s="198"/>
      <c r="G107" s="199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9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  <c r="AH107" s="198"/>
    </row>
    <row r="108" ht="15.75" customHeight="1">
      <c r="A108" s="198"/>
      <c r="B108" s="198"/>
      <c r="C108" s="198"/>
      <c r="D108" s="198"/>
      <c r="E108" s="198"/>
      <c r="F108" s="198"/>
      <c r="G108" s="199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9"/>
      <c r="W108" s="198"/>
      <c r="X108" s="198"/>
      <c r="Y108" s="198"/>
      <c r="Z108" s="198"/>
      <c r="AA108" s="198"/>
      <c r="AB108" s="198"/>
      <c r="AC108" s="198"/>
      <c r="AD108" s="198"/>
      <c r="AE108" s="198"/>
      <c r="AF108" s="198"/>
      <c r="AG108" s="198"/>
      <c r="AH108" s="198"/>
    </row>
    <row r="109" ht="15.75" customHeight="1">
      <c r="A109" s="198"/>
      <c r="B109" s="198"/>
      <c r="C109" s="198"/>
      <c r="D109" s="198"/>
      <c r="E109" s="198"/>
      <c r="F109" s="198"/>
      <c r="G109" s="199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9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198"/>
    </row>
    <row r="110" ht="15.75" customHeight="1">
      <c r="A110" s="198"/>
      <c r="B110" s="198"/>
      <c r="C110" s="198"/>
      <c r="D110" s="198"/>
      <c r="E110" s="198"/>
      <c r="F110" s="198"/>
      <c r="G110" s="199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9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198"/>
    </row>
    <row r="111" ht="15.75" customHeight="1">
      <c r="A111" s="198"/>
      <c r="B111" s="198"/>
      <c r="C111" s="198"/>
      <c r="D111" s="198"/>
      <c r="E111" s="198"/>
      <c r="F111" s="198"/>
      <c r="G111" s="199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9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</row>
    <row r="112" ht="15.75" customHeight="1">
      <c r="A112" s="198"/>
      <c r="B112" s="198"/>
      <c r="C112" s="198"/>
      <c r="D112" s="198"/>
      <c r="E112" s="198"/>
      <c r="F112" s="198"/>
      <c r="G112" s="199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9"/>
      <c r="W112" s="198"/>
      <c r="X112" s="198"/>
      <c r="Y112" s="198"/>
      <c r="Z112" s="198"/>
      <c r="AA112" s="198"/>
      <c r="AB112" s="198"/>
      <c r="AC112" s="198"/>
      <c r="AD112" s="198"/>
      <c r="AE112" s="198"/>
      <c r="AF112" s="198"/>
      <c r="AG112" s="198"/>
      <c r="AH112" s="198"/>
    </row>
    <row r="113" ht="15.75" customHeight="1">
      <c r="A113" s="198"/>
      <c r="B113" s="198"/>
      <c r="C113" s="198"/>
      <c r="D113" s="198"/>
      <c r="E113" s="198"/>
      <c r="F113" s="198"/>
      <c r="G113" s="199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9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</row>
    <row r="114" ht="15.75" customHeight="1">
      <c r="A114" s="198"/>
      <c r="B114" s="198"/>
      <c r="C114" s="198"/>
      <c r="D114" s="198"/>
      <c r="E114" s="198"/>
      <c r="F114" s="198"/>
      <c r="G114" s="199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9"/>
      <c r="W114" s="198"/>
      <c r="X114" s="198"/>
      <c r="Y114" s="198"/>
      <c r="Z114" s="198"/>
      <c r="AA114" s="198"/>
      <c r="AB114" s="198"/>
      <c r="AC114" s="198"/>
      <c r="AD114" s="198"/>
      <c r="AE114" s="198"/>
      <c r="AF114" s="198"/>
      <c r="AG114" s="198"/>
      <c r="AH114" s="198"/>
    </row>
    <row r="115" ht="15.75" customHeight="1">
      <c r="A115" s="198"/>
      <c r="B115" s="198"/>
      <c r="C115" s="198"/>
      <c r="D115" s="198"/>
      <c r="E115" s="198"/>
      <c r="F115" s="198"/>
      <c r="G115" s="199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9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</row>
    <row r="116" ht="15.75" customHeight="1">
      <c r="A116" s="198"/>
      <c r="B116" s="198"/>
      <c r="C116" s="198"/>
      <c r="D116" s="198"/>
      <c r="E116" s="198"/>
      <c r="F116" s="198"/>
      <c r="G116" s="199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9"/>
      <c r="W116" s="198"/>
      <c r="X116" s="198"/>
      <c r="Y116" s="198"/>
      <c r="Z116" s="198"/>
      <c r="AA116" s="198"/>
      <c r="AB116" s="198"/>
      <c r="AC116" s="198"/>
      <c r="AD116" s="198"/>
      <c r="AE116" s="198"/>
      <c r="AF116" s="198"/>
      <c r="AG116" s="198"/>
      <c r="AH116" s="198"/>
    </row>
    <row r="117" ht="15.75" customHeight="1">
      <c r="A117" s="198"/>
      <c r="B117" s="198"/>
      <c r="C117" s="198"/>
      <c r="D117" s="198"/>
      <c r="E117" s="198"/>
      <c r="F117" s="198"/>
      <c r="G117" s="199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</row>
    <row r="118" ht="15.75" customHeight="1">
      <c r="A118" s="198"/>
      <c r="B118" s="198"/>
      <c r="C118" s="198"/>
      <c r="D118" s="198"/>
      <c r="E118" s="198"/>
      <c r="F118" s="198"/>
      <c r="G118" s="199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9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8"/>
      <c r="AH118" s="198"/>
    </row>
    <row r="119" ht="15.75" customHeight="1">
      <c r="A119" s="198"/>
      <c r="B119" s="198"/>
      <c r="C119" s="198"/>
      <c r="D119" s="198"/>
      <c r="E119" s="198"/>
      <c r="F119" s="198"/>
      <c r="G119" s="199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</row>
    <row r="120" ht="15.75" customHeight="1">
      <c r="A120" s="198"/>
      <c r="B120" s="198"/>
      <c r="C120" s="198"/>
      <c r="D120" s="198"/>
      <c r="E120" s="198"/>
      <c r="F120" s="198"/>
      <c r="G120" s="199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9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8"/>
      <c r="AH120" s="198"/>
    </row>
    <row r="121" ht="15.75" customHeight="1">
      <c r="A121" s="198"/>
      <c r="B121" s="198"/>
      <c r="C121" s="198"/>
      <c r="D121" s="198"/>
      <c r="E121" s="198"/>
      <c r="F121" s="198"/>
      <c r="G121" s="199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9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</row>
    <row r="122" ht="15.75" customHeight="1">
      <c r="A122" s="198"/>
      <c r="B122" s="198"/>
      <c r="C122" s="198"/>
      <c r="D122" s="198"/>
      <c r="E122" s="198"/>
      <c r="F122" s="198"/>
      <c r="G122" s="199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9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198"/>
    </row>
    <row r="123" ht="15.75" customHeight="1">
      <c r="A123" s="198"/>
      <c r="B123" s="198"/>
      <c r="C123" s="198"/>
      <c r="D123" s="198"/>
      <c r="E123" s="198"/>
      <c r="F123" s="198"/>
      <c r="G123" s="199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9"/>
      <c r="W123" s="198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8"/>
      <c r="AH123" s="198"/>
    </row>
    <row r="124" ht="15.75" customHeight="1">
      <c r="A124" s="198"/>
      <c r="B124" s="198"/>
      <c r="C124" s="198"/>
      <c r="D124" s="198"/>
      <c r="E124" s="198"/>
      <c r="F124" s="198"/>
      <c r="G124" s="199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9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8"/>
      <c r="AH124" s="198"/>
    </row>
    <row r="125" ht="15.75" customHeight="1">
      <c r="A125" s="198"/>
      <c r="B125" s="198"/>
      <c r="C125" s="198"/>
      <c r="D125" s="198"/>
      <c r="E125" s="198"/>
      <c r="F125" s="198"/>
      <c r="G125" s="199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9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8"/>
      <c r="AH125" s="198"/>
    </row>
    <row r="126" ht="15.75" customHeight="1">
      <c r="A126" s="198"/>
      <c r="B126" s="198"/>
      <c r="C126" s="198"/>
      <c r="D126" s="198"/>
      <c r="E126" s="198"/>
      <c r="F126" s="198"/>
      <c r="G126" s="199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9"/>
      <c r="W126" s="198"/>
      <c r="X126" s="198"/>
      <c r="Y126" s="198"/>
      <c r="Z126" s="198"/>
      <c r="AA126" s="198"/>
      <c r="AB126" s="198"/>
      <c r="AC126" s="198"/>
      <c r="AD126" s="198"/>
      <c r="AE126" s="198"/>
      <c r="AF126" s="198"/>
      <c r="AG126" s="198"/>
      <c r="AH126" s="198"/>
    </row>
    <row r="127" ht="15.75" customHeight="1">
      <c r="A127" s="198"/>
      <c r="B127" s="198"/>
      <c r="C127" s="198"/>
      <c r="D127" s="198"/>
      <c r="E127" s="198"/>
      <c r="F127" s="198"/>
      <c r="G127" s="199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9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</row>
    <row r="128" ht="15.75" customHeight="1">
      <c r="A128" s="198"/>
      <c r="B128" s="198"/>
      <c r="C128" s="198"/>
      <c r="D128" s="198"/>
      <c r="E128" s="198"/>
      <c r="F128" s="198"/>
      <c r="G128" s="199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9"/>
      <c r="W128" s="198"/>
      <c r="X128" s="198"/>
      <c r="Y128" s="198"/>
      <c r="Z128" s="198"/>
      <c r="AA128" s="198"/>
      <c r="AB128" s="198"/>
      <c r="AC128" s="198"/>
      <c r="AD128" s="198"/>
      <c r="AE128" s="198"/>
      <c r="AF128" s="198"/>
      <c r="AG128" s="198"/>
      <c r="AH128" s="198"/>
    </row>
    <row r="129" ht="15.75" customHeight="1">
      <c r="A129" s="198"/>
      <c r="B129" s="198"/>
      <c r="C129" s="198"/>
      <c r="D129" s="198"/>
      <c r="E129" s="198"/>
      <c r="F129" s="198"/>
      <c r="G129" s="199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9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</row>
    <row r="130" ht="15.75" customHeight="1">
      <c r="A130" s="198"/>
      <c r="B130" s="198"/>
      <c r="C130" s="198"/>
      <c r="D130" s="198"/>
      <c r="E130" s="198"/>
      <c r="F130" s="198"/>
      <c r="G130" s="199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9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198"/>
    </row>
    <row r="131" ht="15.75" customHeight="1">
      <c r="A131" s="198"/>
      <c r="B131" s="198"/>
      <c r="C131" s="198"/>
      <c r="D131" s="198"/>
      <c r="E131" s="198"/>
      <c r="F131" s="198"/>
      <c r="G131" s="199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9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198"/>
    </row>
    <row r="132" ht="15.75" customHeight="1">
      <c r="A132" s="198"/>
      <c r="B132" s="198"/>
      <c r="C132" s="198"/>
      <c r="D132" s="198"/>
      <c r="E132" s="198"/>
      <c r="F132" s="198"/>
      <c r="G132" s="199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9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</row>
    <row r="133" ht="15.75" customHeight="1">
      <c r="A133" s="198"/>
      <c r="B133" s="198"/>
      <c r="C133" s="198"/>
      <c r="D133" s="198"/>
      <c r="E133" s="198"/>
      <c r="F133" s="198"/>
      <c r="G133" s="199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9"/>
      <c r="W133" s="198"/>
      <c r="X133" s="198"/>
      <c r="Y133" s="198"/>
      <c r="Z133" s="198"/>
      <c r="AA133" s="198"/>
      <c r="AB133" s="198"/>
      <c r="AC133" s="198"/>
      <c r="AD133" s="198"/>
      <c r="AE133" s="198"/>
      <c r="AF133" s="198"/>
      <c r="AG133" s="198"/>
      <c r="AH133" s="198"/>
    </row>
    <row r="134" ht="15.75" customHeight="1">
      <c r="A134" s="198"/>
      <c r="B134" s="198"/>
      <c r="C134" s="198"/>
      <c r="D134" s="198"/>
      <c r="E134" s="198"/>
      <c r="F134" s="198"/>
      <c r="G134" s="199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9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</row>
    <row r="135" ht="15.75" customHeight="1">
      <c r="A135" s="198"/>
      <c r="B135" s="198"/>
      <c r="C135" s="198"/>
      <c r="D135" s="198"/>
      <c r="E135" s="198"/>
      <c r="F135" s="198"/>
      <c r="G135" s="199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9"/>
      <c r="W135" s="198"/>
      <c r="X135" s="198"/>
      <c r="Y135" s="198"/>
      <c r="Z135" s="198"/>
      <c r="AA135" s="198"/>
      <c r="AB135" s="198"/>
      <c r="AC135" s="198"/>
      <c r="AD135" s="198"/>
      <c r="AE135" s="198"/>
      <c r="AF135" s="198"/>
      <c r="AG135" s="198"/>
      <c r="AH135" s="198"/>
    </row>
    <row r="136" ht="15.75" customHeight="1">
      <c r="A136" s="198"/>
      <c r="B136" s="198"/>
      <c r="C136" s="198"/>
      <c r="D136" s="198"/>
      <c r="E136" s="198"/>
      <c r="F136" s="198"/>
      <c r="G136" s="199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9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</row>
    <row r="137" ht="15.75" customHeight="1">
      <c r="A137" s="198"/>
      <c r="B137" s="198"/>
      <c r="C137" s="198"/>
      <c r="D137" s="198"/>
      <c r="E137" s="198"/>
      <c r="F137" s="198"/>
      <c r="G137" s="199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9"/>
      <c r="W137" s="198"/>
      <c r="X137" s="198"/>
      <c r="Y137" s="198"/>
      <c r="Z137" s="198"/>
      <c r="AA137" s="198"/>
      <c r="AB137" s="198"/>
      <c r="AC137" s="198"/>
      <c r="AD137" s="198"/>
      <c r="AE137" s="198"/>
      <c r="AF137" s="198"/>
      <c r="AG137" s="198"/>
      <c r="AH137" s="198"/>
    </row>
    <row r="138" ht="15.75" customHeight="1">
      <c r="A138" s="198"/>
      <c r="B138" s="198"/>
      <c r="C138" s="198"/>
      <c r="D138" s="198"/>
      <c r="E138" s="198"/>
      <c r="F138" s="198"/>
      <c r="G138" s="199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9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</row>
    <row r="139" ht="15.75" customHeight="1">
      <c r="A139" s="198"/>
      <c r="B139" s="198"/>
      <c r="C139" s="198"/>
      <c r="D139" s="198"/>
      <c r="E139" s="198"/>
      <c r="F139" s="198"/>
      <c r="G139" s="199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9"/>
      <c r="W139" s="198"/>
      <c r="X139" s="198"/>
      <c r="Y139" s="198"/>
      <c r="Z139" s="198"/>
      <c r="AA139" s="198"/>
      <c r="AB139" s="198"/>
      <c r="AC139" s="198"/>
      <c r="AD139" s="198"/>
      <c r="AE139" s="198"/>
      <c r="AF139" s="198"/>
      <c r="AG139" s="198"/>
      <c r="AH139" s="198"/>
    </row>
    <row r="140" ht="15.75" customHeight="1">
      <c r="A140" s="198"/>
      <c r="B140" s="198"/>
      <c r="C140" s="198"/>
      <c r="D140" s="198"/>
      <c r="E140" s="198"/>
      <c r="F140" s="198"/>
      <c r="G140" s="199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9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</row>
    <row r="141" ht="15.75" customHeight="1">
      <c r="A141" s="198"/>
      <c r="B141" s="198"/>
      <c r="C141" s="198"/>
      <c r="D141" s="198"/>
      <c r="E141" s="198"/>
      <c r="F141" s="198"/>
      <c r="G141" s="199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9"/>
      <c r="W141" s="198"/>
      <c r="X141" s="198"/>
      <c r="Y141" s="198"/>
      <c r="Z141" s="198"/>
      <c r="AA141" s="198"/>
      <c r="AB141" s="198"/>
      <c r="AC141" s="198"/>
      <c r="AD141" s="198"/>
      <c r="AE141" s="198"/>
      <c r="AF141" s="198"/>
      <c r="AG141" s="198"/>
      <c r="AH141" s="198"/>
    </row>
    <row r="142" ht="15.75" customHeight="1">
      <c r="A142" s="198"/>
      <c r="B142" s="198"/>
      <c r="C142" s="198"/>
      <c r="D142" s="198"/>
      <c r="E142" s="198"/>
      <c r="F142" s="198"/>
      <c r="G142" s="199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9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</row>
    <row r="143" ht="15.75" customHeight="1">
      <c r="A143" s="198"/>
      <c r="B143" s="198"/>
      <c r="C143" s="198"/>
      <c r="D143" s="198"/>
      <c r="E143" s="198"/>
      <c r="F143" s="198"/>
      <c r="G143" s="199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9"/>
      <c r="W143" s="198"/>
      <c r="X143" s="198"/>
      <c r="Y143" s="198"/>
      <c r="Z143" s="198"/>
      <c r="AA143" s="198"/>
      <c r="AB143" s="198"/>
      <c r="AC143" s="198"/>
      <c r="AD143" s="198"/>
      <c r="AE143" s="198"/>
      <c r="AF143" s="198"/>
      <c r="AG143" s="198"/>
      <c r="AH143" s="198"/>
    </row>
    <row r="144" ht="15.75" customHeight="1">
      <c r="A144" s="198"/>
      <c r="B144" s="198"/>
      <c r="C144" s="198"/>
      <c r="D144" s="198"/>
      <c r="E144" s="198"/>
      <c r="F144" s="198"/>
      <c r="G144" s="199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9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198"/>
    </row>
    <row r="145" ht="15.75" customHeight="1">
      <c r="A145" s="198"/>
      <c r="B145" s="198"/>
      <c r="C145" s="198"/>
      <c r="D145" s="198"/>
      <c r="E145" s="198"/>
      <c r="F145" s="198"/>
      <c r="G145" s="199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9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198"/>
    </row>
    <row r="146" ht="15.75" customHeight="1">
      <c r="A146" s="198"/>
      <c r="B146" s="198"/>
      <c r="C146" s="198"/>
      <c r="D146" s="198"/>
      <c r="E146" s="198"/>
      <c r="F146" s="198"/>
      <c r="G146" s="199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9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</row>
    <row r="147" ht="15.75" customHeight="1">
      <c r="A147" s="198"/>
      <c r="B147" s="198"/>
      <c r="C147" s="198"/>
      <c r="D147" s="198"/>
      <c r="E147" s="198"/>
      <c r="F147" s="198"/>
      <c r="G147" s="199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9"/>
      <c r="W147" s="198"/>
      <c r="X147" s="198"/>
      <c r="Y147" s="198"/>
      <c r="Z147" s="198"/>
      <c r="AA147" s="198"/>
      <c r="AB147" s="198"/>
      <c r="AC147" s="198"/>
      <c r="AD147" s="198"/>
      <c r="AE147" s="198"/>
      <c r="AF147" s="198"/>
      <c r="AG147" s="198"/>
      <c r="AH147" s="198"/>
    </row>
    <row r="148" ht="15.75" customHeight="1">
      <c r="A148" s="198"/>
      <c r="B148" s="198"/>
      <c r="C148" s="198"/>
      <c r="D148" s="198"/>
      <c r="E148" s="198"/>
      <c r="F148" s="198"/>
      <c r="G148" s="199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9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</row>
    <row r="149" ht="15.75" customHeight="1">
      <c r="A149" s="198"/>
      <c r="B149" s="198"/>
      <c r="C149" s="198"/>
      <c r="D149" s="198"/>
      <c r="E149" s="198"/>
      <c r="F149" s="198"/>
      <c r="G149" s="199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9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198"/>
      <c r="AH149" s="198"/>
    </row>
    <row r="150" ht="15.75" customHeight="1">
      <c r="A150" s="198"/>
      <c r="B150" s="198"/>
      <c r="C150" s="198"/>
      <c r="D150" s="198"/>
      <c r="E150" s="198"/>
      <c r="F150" s="198"/>
      <c r="G150" s="199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9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</row>
    <row r="151" ht="15.75" customHeight="1">
      <c r="A151" s="198"/>
      <c r="B151" s="198"/>
      <c r="C151" s="198"/>
      <c r="D151" s="198"/>
      <c r="E151" s="198"/>
      <c r="F151" s="198"/>
      <c r="G151" s="199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9"/>
      <c r="W151" s="198"/>
      <c r="X151" s="198"/>
      <c r="Y151" s="198"/>
      <c r="Z151" s="198"/>
      <c r="AA151" s="198"/>
      <c r="AB151" s="198"/>
      <c r="AC151" s="198"/>
      <c r="AD151" s="198"/>
      <c r="AE151" s="198"/>
      <c r="AF151" s="198"/>
      <c r="AG151" s="198"/>
      <c r="AH151" s="198"/>
    </row>
    <row r="152" ht="15.75" customHeight="1">
      <c r="A152" s="198"/>
      <c r="B152" s="198"/>
      <c r="C152" s="198"/>
      <c r="D152" s="198"/>
      <c r="E152" s="198"/>
      <c r="F152" s="198"/>
      <c r="G152" s="199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9"/>
      <c r="W152" s="198"/>
      <c r="X152" s="198"/>
      <c r="Y152" s="198"/>
      <c r="Z152" s="198"/>
      <c r="AA152" s="198"/>
      <c r="AB152" s="198"/>
      <c r="AC152" s="198"/>
      <c r="AD152" s="198"/>
      <c r="AE152" s="198"/>
      <c r="AF152" s="198"/>
      <c r="AG152" s="198"/>
      <c r="AH152" s="198"/>
    </row>
    <row r="153" ht="15.75" customHeight="1">
      <c r="A153" s="198"/>
      <c r="B153" s="198"/>
      <c r="C153" s="198"/>
      <c r="D153" s="198"/>
      <c r="E153" s="198"/>
      <c r="F153" s="198"/>
      <c r="G153" s="199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9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</row>
    <row r="154" ht="15.75" customHeight="1">
      <c r="A154" s="198"/>
      <c r="B154" s="198"/>
      <c r="C154" s="198"/>
      <c r="D154" s="198"/>
      <c r="E154" s="198"/>
      <c r="F154" s="198"/>
      <c r="G154" s="199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9"/>
      <c r="W154" s="198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198"/>
    </row>
    <row r="155" ht="15.75" customHeight="1">
      <c r="A155" s="198"/>
      <c r="B155" s="198"/>
      <c r="C155" s="198"/>
      <c r="D155" s="198"/>
      <c r="E155" s="198"/>
      <c r="F155" s="198"/>
      <c r="G155" s="199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9"/>
      <c r="W155" s="198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</row>
    <row r="156" ht="15.75" customHeight="1">
      <c r="A156" s="198"/>
      <c r="B156" s="198"/>
      <c r="C156" s="198"/>
      <c r="D156" s="198"/>
      <c r="E156" s="198"/>
      <c r="F156" s="198"/>
      <c r="G156" s="199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9"/>
      <c r="W156" s="198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198"/>
    </row>
    <row r="157" ht="15.75" customHeight="1">
      <c r="A157" s="198"/>
      <c r="B157" s="198"/>
      <c r="C157" s="198"/>
      <c r="D157" s="198"/>
      <c r="E157" s="198"/>
      <c r="F157" s="198"/>
      <c r="G157" s="199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9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</row>
    <row r="158" ht="15.75" customHeight="1">
      <c r="A158" s="198"/>
      <c r="B158" s="198"/>
      <c r="C158" s="198"/>
      <c r="D158" s="198"/>
      <c r="E158" s="198"/>
      <c r="F158" s="198"/>
      <c r="G158" s="199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9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198"/>
    </row>
    <row r="159" ht="15.75" customHeight="1">
      <c r="A159" s="198"/>
      <c r="B159" s="198"/>
      <c r="C159" s="198"/>
      <c r="D159" s="198"/>
      <c r="E159" s="198"/>
      <c r="F159" s="198"/>
      <c r="G159" s="199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9"/>
      <c r="W159" s="198"/>
      <c r="X159" s="198"/>
      <c r="Y159" s="198"/>
      <c r="Z159" s="198"/>
      <c r="AA159" s="198"/>
      <c r="AB159" s="198"/>
      <c r="AC159" s="198"/>
      <c r="AD159" s="198"/>
      <c r="AE159" s="198"/>
      <c r="AF159" s="198"/>
      <c r="AG159" s="198"/>
      <c r="AH159" s="198"/>
    </row>
    <row r="160" ht="15.75" customHeight="1">
      <c r="A160" s="198"/>
      <c r="B160" s="198"/>
      <c r="C160" s="198"/>
      <c r="D160" s="198"/>
      <c r="E160" s="198"/>
      <c r="F160" s="198"/>
      <c r="G160" s="199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9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</row>
    <row r="161" ht="15.75" customHeight="1">
      <c r="A161" s="198"/>
      <c r="B161" s="198"/>
      <c r="C161" s="198"/>
      <c r="D161" s="198"/>
      <c r="E161" s="198"/>
      <c r="F161" s="198"/>
      <c r="G161" s="199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9"/>
      <c r="W161" s="198"/>
      <c r="X161" s="198"/>
      <c r="Y161" s="198"/>
      <c r="Z161" s="198"/>
      <c r="AA161" s="198"/>
      <c r="AB161" s="198"/>
      <c r="AC161" s="198"/>
      <c r="AD161" s="198"/>
      <c r="AE161" s="198"/>
      <c r="AF161" s="198"/>
      <c r="AG161" s="198"/>
      <c r="AH161" s="198"/>
    </row>
    <row r="162" ht="15.75" customHeight="1">
      <c r="A162" s="198"/>
      <c r="B162" s="198"/>
      <c r="C162" s="198"/>
      <c r="D162" s="198"/>
      <c r="E162" s="198"/>
      <c r="F162" s="198"/>
      <c r="G162" s="199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9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</row>
    <row r="163" ht="15.75" customHeight="1">
      <c r="A163" s="198"/>
      <c r="B163" s="198"/>
      <c r="C163" s="198"/>
      <c r="D163" s="198"/>
      <c r="E163" s="198"/>
      <c r="F163" s="198"/>
      <c r="G163" s="199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9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198"/>
    </row>
    <row r="164" ht="15.75" customHeight="1">
      <c r="A164" s="198"/>
      <c r="B164" s="198"/>
      <c r="C164" s="198"/>
      <c r="D164" s="198"/>
      <c r="E164" s="198"/>
      <c r="F164" s="198"/>
      <c r="G164" s="199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9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</row>
    <row r="165" ht="15.75" customHeight="1">
      <c r="A165" s="198"/>
      <c r="B165" s="198"/>
      <c r="C165" s="198"/>
      <c r="D165" s="198"/>
      <c r="E165" s="198"/>
      <c r="F165" s="198"/>
      <c r="G165" s="199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9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198"/>
    </row>
    <row r="166" ht="15.75" customHeight="1">
      <c r="A166" s="198"/>
      <c r="B166" s="198"/>
      <c r="C166" s="198"/>
      <c r="D166" s="198"/>
      <c r="E166" s="198"/>
      <c r="F166" s="198"/>
      <c r="G166" s="199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9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198"/>
    </row>
    <row r="167" ht="15.75" customHeight="1">
      <c r="A167" s="198"/>
      <c r="B167" s="198"/>
      <c r="C167" s="198"/>
      <c r="D167" s="198"/>
      <c r="E167" s="198"/>
      <c r="F167" s="198"/>
      <c r="G167" s="199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9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</row>
    <row r="168" ht="15.75" customHeight="1">
      <c r="A168" s="198"/>
      <c r="B168" s="198"/>
      <c r="C168" s="198"/>
      <c r="D168" s="198"/>
      <c r="E168" s="198"/>
      <c r="F168" s="198"/>
      <c r="G168" s="199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9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198"/>
    </row>
    <row r="169" ht="15.75" customHeight="1">
      <c r="A169" s="198"/>
      <c r="B169" s="198"/>
      <c r="C169" s="198"/>
      <c r="D169" s="198"/>
      <c r="E169" s="198"/>
      <c r="F169" s="198"/>
      <c r="G169" s="199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9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198"/>
    </row>
    <row r="170" ht="15.75" customHeight="1">
      <c r="A170" s="198"/>
      <c r="B170" s="198"/>
      <c r="C170" s="198"/>
      <c r="D170" s="198"/>
      <c r="E170" s="198"/>
      <c r="F170" s="198"/>
      <c r="G170" s="199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9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</row>
    <row r="171" ht="15.75" customHeight="1">
      <c r="A171" s="198"/>
      <c r="B171" s="198"/>
      <c r="C171" s="198"/>
      <c r="D171" s="198"/>
      <c r="E171" s="198"/>
      <c r="F171" s="198"/>
      <c r="G171" s="199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9"/>
      <c r="W171" s="198"/>
      <c r="X171" s="198"/>
      <c r="Y171" s="198"/>
      <c r="Z171" s="198"/>
      <c r="AA171" s="198"/>
      <c r="AB171" s="198"/>
      <c r="AC171" s="198"/>
      <c r="AD171" s="198"/>
      <c r="AE171" s="198"/>
      <c r="AF171" s="198"/>
      <c r="AG171" s="198"/>
      <c r="AH171" s="198"/>
    </row>
    <row r="172" ht="15.75" customHeight="1">
      <c r="A172" s="198"/>
      <c r="B172" s="198"/>
      <c r="C172" s="198"/>
      <c r="D172" s="198"/>
      <c r="E172" s="198"/>
      <c r="F172" s="198"/>
      <c r="G172" s="199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9"/>
      <c r="W172" s="198"/>
      <c r="X172" s="198"/>
      <c r="Y172" s="198"/>
      <c r="Z172" s="198"/>
      <c r="AA172" s="198"/>
      <c r="AB172" s="198"/>
      <c r="AC172" s="198"/>
      <c r="AD172" s="198"/>
      <c r="AE172" s="198"/>
      <c r="AF172" s="198"/>
      <c r="AG172" s="198"/>
      <c r="AH172" s="198"/>
    </row>
    <row r="173" ht="15.75" customHeight="1">
      <c r="A173" s="198"/>
      <c r="B173" s="198"/>
      <c r="C173" s="198"/>
      <c r="D173" s="198"/>
      <c r="E173" s="198"/>
      <c r="F173" s="198"/>
      <c r="G173" s="199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9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</row>
    <row r="174" ht="15.75" customHeight="1">
      <c r="A174" s="198"/>
      <c r="B174" s="198"/>
      <c r="C174" s="198"/>
      <c r="D174" s="198"/>
      <c r="E174" s="198"/>
      <c r="F174" s="198"/>
      <c r="G174" s="199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9"/>
      <c r="W174" s="198"/>
      <c r="X174" s="198"/>
      <c r="Y174" s="198"/>
      <c r="Z174" s="198"/>
      <c r="AA174" s="198"/>
      <c r="AB174" s="198"/>
      <c r="AC174" s="198"/>
      <c r="AD174" s="198"/>
      <c r="AE174" s="198"/>
      <c r="AF174" s="198"/>
      <c r="AG174" s="198"/>
      <c r="AH174" s="198"/>
    </row>
    <row r="175" ht="15.75" customHeight="1">
      <c r="A175" s="198"/>
      <c r="B175" s="198"/>
      <c r="C175" s="198"/>
      <c r="D175" s="198"/>
      <c r="E175" s="198"/>
      <c r="F175" s="198"/>
      <c r="G175" s="199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9"/>
      <c r="W175" s="198"/>
      <c r="X175" s="198"/>
      <c r="Y175" s="198"/>
      <c r="Z175" s="198"/>
      <c r="AA175" s="198"/>
      <c r="AB175" s="198"/>
      <c r="AC175" s="198"/>
      <c r="AD175" s="198"/>
      <c r="AE175" s="198"/>
      <c r="AF175" s="198"/>
      <c r="AG175" s="198"/>
      <c r="AH175" s="198"/>
    </row>
    <row r="176" ht="15.75" customHeight="1">
      <c r="A176" s="198"/>
      <c r="B176" s="198"/>
      <c r="C176" s="198"/>
      <c r="D176" s="198"/>
      <c r="E176" s="198"/>
      <c r="F176" s="198"/>
      <c r="G176" s="199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9"/>
      <c r="W176" s="198"/>
      <c r="X176" s="198"/>
      <c r="Y176" s="198"/>
      <c r="Z176" s="198"/>
      <c r="AA176" s="198"/>
      <c r="AB176" s="198"/>
      <c r="AC176" s="198"/>
      <c r="AD176" s="198"/>
      <c r="AE176" s="198"/>
      <c r="AF176" s="198"/>
      <c r="AG176" s="198"/>
      <c r="AH176" s="198"/>
    </row>
    <row r="177" ht="15.75" customHeight="1">
      <c r="A177" s="198"/>
      <c r="B177" s="198"/>
      <c r="C177" s="198"/>
      <c r="D177" s="198"/>
      <c r="E177" s="198"/>
      <c r="F177" s="198"/>
      <c r="G177" s="199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9"/>
      <c r="W177" s="198"/>
      <c r="X177" s="198"/>
      <c r="Y177" s="198"/>
      <c r="Z177" s="198"/>
      <c r="AA177" s="198"/>
      <c r="AB177" s="198"/>
      <c r="AC177" s="198"/>
      <c r="AD177" s="198"/>
      <c r="AE177" s="198"/>
      <c r="AF177" s="198"/>
      <c r="AG177" s="198"/>
      <c r="AH177" s="198"/>
    </row>
    <row r="178" ht="15.75" customHeight="1">
      <c r="A178" s="198"/>
      <c r="B178" s="198"/>
      <c r="C178" s="198"/>
      <c r="D178" s="198"/>
      <c r="E178" s="198"/>
      <c r="F178" s="198"/>
      <c r="G178" s="199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9"/>
      <c r="W178" s="198"/>
      <c r="X178" s="198"/>
      <c r="Y178" s="198"/>
      <c r="Z178" s="198"/>
      <c r="AA178" s="198"/>
      <c r="AB178" s="198"/>
      <c r="AC178" s="198"/>
      <c r="AD178" s="198"/>
      <c r="AE178" s="198"/>
      <c r="AF178" s="198"/>
      <c r="AG178" s="198"/>
      <c r="AH178" s="198"/>
    </row>
    <row r="179" ht="15.75" customHeight="1">
      <c r="A179" s="198"/>
      <c r="B179" s="198"/>
      <c r="C179" s="198"/>
      <c r="D179" s="198"/>
      <c r="E179" s="198"/>
      <c r="F179" s="198"/>
      <c r="G179" s="199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9"/>
      <c r="W179" s="198"/>
      <c r="X179" s="198"/>
      <c r="Y179" s="198"/>
      <c r="Z179" s="198"/>
      <c r="AA179" s="198"/>
      <c r="AB179" s="198"/>
      <c r="AC179" s="198"/>
      <c r="AD179" s="198"/>
      <c r="AE179" s="198"/>
      <c r="AF179" s="198"/>
      <c r="AG179" s="198"/>
      <c r="AH179" s="198"/>
    </row>
    <row r="180" ht="15.75" customHeight="1">
      <c r="A180" s="198"/>
      <c r="B180" s="198"/>
      <c r="C180" s="198"/>
      <c r="D180" s="198"/>
      <c r="E180" s="198"/>
      <c r="F180" s="198"/>
      <c r="G180" s="199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9"/>
      <c r="W180" s="198"/>
      <c r="X180" s="198"/>
      <c r="Y180" s="198"/>
      <c r="Z180" s="198"/>
      <c r="AA180" s="198"/>
      <c r="AB180" s="198"/>
      <c r="AC180" s="198"/>
      <c r="AD180" s="198"/>
      <c r="AE180" s="198"/>
      <c r="AF180" s="198"/>
      <c r="AG180" s="198"/>
      <c r="AH180" s="198"/>
    </row>
    <row r="181" ht="15.75" customHeight="1">
      <c r="A181" s="198"/>
      <c r="B181" s="198"/>
      <c r="C181" s="198"/>
      <c r="D181" s="198"/>
      <c r="E181" s="198"/>
      <c r="F181" s="198"/>
      <c r="G181" s="199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9"/>
      <c r="W181" s="198"/>
      <c r="X181" s="198"/>
      <c r="Y181" s="198"/>
      <c r="Z181" s="198"/>
      <c r="AA181" s="198"/>
      <c r="AB181" s="198"/>
      <c r="AC181" s="198"/>
      <c r="AD181" s="198"/>
      <c r="AE181" s="198"/>
      <c r="AF181" s="198"/>
      <c r="AG181" s="198"/>
      <c r="AH181" s="198"/>
    </row>
    <row r="182" ht="15.75" customHeight="1">
      <c r="A182" s="198"/>
      <c r="B182" s="198"/>
      <c r="C182" s="198"/>
      <c r="D182" s="198"/>
      <c r="E182" s="198"/>
      <c r="F182" s="198"/>
      <c r="G182" s="199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9"/>
      <c r="W182" s="198"/>
      <c r="X182" s="198"/>
      <c r="Y182" s="198"/>
      <c r="Z182" s="198"/>
      <c r="AA182" s="198"/>
      <c r="AB182" s="198"/>
      <c r="AC182" s="198"/>
      <c r="AD182" s="198"/>
      <c r="AE182" s="198"/>
      <c r="AF182" s="198"/>
      <c r="AG182" s="198"/>
      <c r="AH182" s="198"/>
    </row>
    <row r="183" ht="15.75" customHeight="1">
      <c r="A183" s="198"/>
      <c r="B183" s="198"/>
      <c r="C183" s="198"/>
      <c r="D183" s="198"/>
      <c r="E183" s="198"/>
      <c r="F183" s="198"/>
      <c r="G183" s="199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9"/>
      <c r="W183" s="198"/>
      <c r="X183" s="198"/>
      <c r="Y183" s="198"/>
      <c r="Z183" s="198"/>
      <c r="AA183" s="198"/>
      <c r="AB183" s="198"/>
      <c r="AC183" s="198"/>
      <c r="AD183" s="198"/>
      <c r="AE183" s="198"/>
      <c r="AF183" s="198"/>
      <c r="AG183" s="198"/>
      <c r="AH183" s="198"/>
    </row>
    <row r="184" ht="15.75" customHeight="1">
      <c r="A184" s="198"/>
      <c r="B184" s="198"/>
      <c r="C184" s="198"/>
      <c r="D184" s="198"/>
      <c r="E184" s="198"/>
      <c r="F184" s="198"/>
      <c r="G184" s="199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9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</row>
    <row r="185" ht="15.75" customHeight="1">
      <c r="A185" s="198"/>
      <c r="B185" s="198"/>
      <c r="C185" s="198"/>
      <c r="D185" s="198"/>
      <c r="E185" s="198"/>
      <c r="F185" s="198"/>
      <c r="G185" s="199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9"/>
      <c r="W185" s="198"/>
      <c r="X185" s="198"/>
      <c r="Y185" s="198"/>
      <c r="Z185" s="198"/>
      <c r="AA185" s="198"/>
      <c r="AB185" s="198"/>
      <c r="AC185" s="198"/>
      <c r="AD185" s="198"/>
      <c r="AE185" s="198"/>
      <c r="AF185" s="198"/>
      <c r="AG185" s="198"/>
      <c r="AH185" s="198"/>
    </row>
    <row r="186" ht="15.75" customHeight="1">
      <c r="A186" s="198"/>
      <c r="B186" s="198"/>
      <c r="C186" s="198"/>
      <c r="D186" s="198"/>
      <c r="E186" s="198"/>
      <c r="F186" s="198"/>
      <c r="G186" s="199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9"/>
      <c r="W186" s="198"/>
      <c r="X186" s="198"/>
      <c r="Y186" s="198"/>
      <c r="Z186" s="198"/>
      <c r="AA186" s="198"/>
      <c r="AB186" s="198"/>
      <c r="AC186" s="198"/>
      <c r="AD186" s="198"/>
      <c r="AE186" s="198"/>
      <c r="AF186" s="198"/>
      <c r="AG186" s="198"/>
      <c r="AH186" s="198"/>
    </row>
    <row r="187" ht="15.75" customHeight="1">
      <c r="A187" s="198"/>
      <c r="B187" s="198"/>
      <c r="C187" s="198"/>
      <c r="D187" s="198"/>
      <c r="E187" s="198"/>
      <c r="F187" s="198"/>
      <c r="G187" s="199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9"/>
      <c r="W187" s="198"/>
      <c r="X187" s="198"/>
      <c r="Y187" s="198"/>
      <c r="Z187" s="198"/>
      <c r="AA187" s="198"/>
      <c r="AB187" s="198"/>
      <c r="AC187" s="198"/>
      <c r="AD187" s="198"/>
      <c r="AE187" s="198"/>
      <c r="AF187" s="198"/>
      <c r="AG187" s="198"/>
      <c r="AH187" s="198"/>
    </row>
    <row r="188" ht="15.75" customHeight="1">
      <c r="A188" s="198"/>
      <c r="B188" s="198"/>
      <c r="C188" s="198"/>
      <c r="D188" s="198"/>
      <c r="E188" s="198"/>
      <c r="F188" s="198"/>
      <c r="G188" s="199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9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</row>
    <row r="189" ht="15.75" customHeight="1">
      <c r="A189" s="198"/>
      <c r="B189" s="198"/>
      <c r="C189" s="198"/>
      <c r="D189" s="198"/>
      <c r="E189" s="198"/>
      <c r="F189" s="198"/>
      <c r="G189" s="199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9"/>
      <c r="W189" s="198"/>
      <c r="X189" s="198"/>
      <c r="Y189" s="198"/>
      <c r="Z189" s="198"/>
      <c r="AA189" s="198"/>
      <c r="AB189" s="198"/>
      <c r="AC189" s="198"/>
      <c r="AD189" s="198"/>
      <c r="AE189" s="198"/>
      <c r="AF189" s="198"/>
      <c r="AG189" s="198"/>
      <c r="AH189" s="198"/>
    </row>
    <row r="190" ht="15.75" customHeight="1">
      <c r="A190" s="198"/>
      <c r="B190" s="198"/>
      <c r="C190" s="198"/>
      <c r="D190" s="198"/>
      <c r="E190" s="198"/>
      <c r="F190" s="198"/>
      <c r="G190" s="199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9"/>
      <c r="W190" s="198"/>
      <c r="X190" s="198"/>
      <c r="Y190" s="198"/>
      <c r="Z190" s="198"/>
      <c r="AA190" s="198"/>
      <c r="AB190" s="198"/>
      <c r="AC190" s="198"/>
      <c r="AD190" s="198"/>
      <c r="AE190" s="198"/>
      <c r="AF190" s="198"/>
      <c r="AG190" s="198"/>
      <c r="AH190" s="198"/>
    </row>
    <row r="191" ht="15.75" customHeight="1">
      <c r="A191" s="198"/>
      <c r="B191" s="198"/>
      <c r="C191" s="198"/>
      <c r="D191" s="198"/>
      <c r="E191" s="198"/>
      <c r="F191" s="198"/>
      <c r="G191" s="199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9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</row>
    <row r="192" ht="15.75" customHeight="1">
      <c r="A192" s="198"/>
      <c r="B192" s="198"/>
      <c r="C192" s="198"/>
      <c r="D192" s="198"/>
      <c r="E192" s="198"/>
      <c r="F192" s="198"/>
      <c r="G192" s="199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9"/>
      <c r="W192" s="198"/>
      <c r="X192" s="198"/>
      <c r="Y192" s="198"/>
      <c r="Z192" s="198"/>
      <c r="AA192" s="198"/>
      <c r="AB192" s="198"/>
      <c r="AC192" s="198"/>
      <c r="AD192" s="198"/>
      <c r="AE192" s="198"/>
      <c r="AF192" s="198"/>
      <c r="AG192" s="198"/>
      <c r="AH192" s="198"/>
    </row>
    <row r="193" ht="15.75" customHeight="1">
      <c r="A193" s="198"/>
      <c r="B193" s="198"/>
      <c r="C193" s="198"/>
      <c r="D193" s="198"/>
      <c r="E193" s="198"/>
      <c r="F193" s="198"/>
      <c r="G193" s="199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9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</row>
    <row r="194" ht="15.75" customHeight="1">
      <c r="A194" s="198"/>
      <c r="B194" s="198"/>
      <c r="C194" s="198"/>
      <c r="D194" s="198"/>
      <c r="E194" s="198"/>
      <c r="F194" s="198"/>
      <c r="G194" s="199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9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</row>
    <row r="195" ht="15.75" customHeight="1">
      <c r="A195" s="198"/>
      <c r="B195" s="198"/>
      <c r="C195" s="198"/>
      <c r="D195" s="198"/>
      <c r="E195" s="198"/>
      <c r="F195" s="198"/>
      <c r="G195" s="199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9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</row>
    <row r="196" ht="15.75" customHeight="1">
      <c r="A196" s="198"/>
      <c r="B196" s="198"/>
      <c r="C196" s="198"/>
      <c r="D196" s="198"/>
      <c r="E196" s="198"/>
      <c r="F196" s="198"/>
      <c r="G196" s="199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9"/>
      <c r="W196" s="198"/>
      <c r="X196" s="198"/>
      <c r="Y196" s="198"/>
      <c r="Z196" s="198"/>
      <c r="AA196" s="198"/>
      <c r="AB196" s="198"/>
      <c r="AC196" s="198"/>
      <c r="AD196" s="198"/>
      <c r="AE196" s="198"/>
      <c r="AF196" s="198"/>
      <c r="AG196" s="198"/>
      <c r="AH196" s="198"/>
    </row>
    <row r="197" ht="15.75" customHeight="1">
      <c r="A197" s="198"/>
      <c r="B197" s="198"/>
      <c r="C197" s="198"/>
      <c r="D197" s="198"/>
      <c r="E197" s="198"/>
      <c r="F197" s="198"/>
      <c r="G197" s="199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9"/>
      <c r="W197" s="198"/>
      <c r="X197" s="198"/>
      <c r="Y197" s="198"/>
      <c r="Z197" s="198"/>
      <c r="AA197" s="198"/>
      <c r="AB197" s="198"/>
      <c r="AC197" s="198"/>
      <c r="AD197" s="198"/>
      <c r="AE197" s="198"/>
      <c r="AF197" s="198"/>
      <c r="AG197" s="198"/>
      <c r="AH197" s="198"/>
    </row>
    <row r="198" ht="15.75" customHeight="1">
      <c r="A198" s="198"/>
      <c r="B198" s="198"/>
      <c r="C198" s="198"/>
      <c r="D198" s="198"/>
      <c r="E198" s="198"/>
      <c r="F198" s="198"/>
      <c r="G198" s="199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9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</row>
    <row r="199" ht="15.75" customHeight="1">
      <c r="A199" s="198"/>
      <c r="B199" s="198"/>
      <c r="C199" s="198"/>
      <c r="D199" s="198"/>
      <c r="E199" s="198"/>
      <c r="F199" s="198"/>
      <c r="G199" s="199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9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</row>
    <row r="200" ht="15.75" customHeight="1">
      <c r="A200" s="198"/>
      <c r="B200" s="198"/>
      <c r="C200" s="198"/>
      <c r="D200" s="198"/>
      <c r="E200" s="198"/>
      <c r="F200" s="198"/>
      <c r="G200" s="199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9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</row>
    <row r="201" ht="15.75" customHeight="1">
      <c r="A201" s="198"/>
      <c r="B201" s="198"/>
      <c r="C201" s="198"/>
      <c r="D201" s="198"/>
      <c r="E201" s="198"/>
      <c r="F201" s="198"/>
      <c r="G201" s="199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9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</row>
    <row r="202" ht="15.75" customHeight="1">
      <c r="A202" s="198"/>
      <c r="B202" s="198"/>
      <c r="C202" s="198"/>
      <c r="D202" s="198"/>
      <c r="E202" s="198"/>
      <c r="F202" s="198"/>
      <c r="G202" s="199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9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</row>
    <row r="203" ht="15.75" customHeight="1">
      <c r="A203" s="198"/>
      <c r="B203" s="198"/>
      <c r="C203" s="198"/>
      <c r="D203" s="198"/>
      <c r="E203" s="198"/>
      <c r="F203" s="198"/>
      <c r="G203" s="199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9"/>
      <c r="W203" s="198"/>
      <c r="X203" s="198"/>
      <c r="Y203" s="198"/>
      <c r="Z203" s="198"/>
      <c r="AA203" s="198"/>
      <c r="AB203" s="198"/>
      <c r="AC203" s="198"/>
      <c r="AD203" s="198"/>
      <c r="AE203" s="198"/>
      <c r="AF203" s="198"/>
      <c r="AG203" s="198"/>
      <c r="AH203" s="198"/>
    </row>
    <row r="204" ht="15.75" customHeight="1">
      <c r="A204" s="198"/>
      <c r="B204" s="198"/>
      <c r="C204" s="198"/>
      <c r="D204" s="198"/>
      <c r="E204" s="198"/>
      <c r="F204" s="198"/>
      <c r="G204" s="199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9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</row>
    <row r="205" ht="15.75" customHeight="1">
      <c r="A205" s="198"/>
      <c r="B205" s="198"/>
      <c r="C205" s="198"/>
      <c r="D205" s="198"/>
      <c r="E205" s="198"/>
      <c r="F205" s="198"/>
      <c r="G205" s="199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9"/>
      <c r="W205" s="198"/>
      <c r="X205" s="198"/>
      <c r="Y205" s="198"/>
      <c r="Z205" s="198"/>
      <c r="AA205" s="198"/>
      <c r="AB205" s="198"/>
      <c r="AC205" s="198"/>
      <c r="AD205" s="198"/>
      <c r="AE205" s="198"/>
      <c r="AF205" s="198"/>
      <c r="AG205" s="198"/>
      <c r="AH205" s="198"/>
    </row>
    <row r="206" ht="15.75" customHeight="1">
      <c r="A206" s="198"/>
      <c r="B206" s="198"/>
      <c r="C206" s="198"/>
      <c r="D206" s="198"/>
      <c r="E206" s="198"/>
      <c r="F206" s="198"/>
      <c r="G206" s="199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9"/>
      <c r="W206" s="198"/>
      <c r="X206" s="198"/>
      <c r="Y206" s="198"/>
      <c r="Z206" s="198"/>
      <c r="AA206" s="198"/>
      <c r="AB206" s="198"/>
      <c r="AC206" s="198"/>
      <c r="AD206" s="198"/>
      <c r="AE206" s="198"/>
      <c r="AF206" s="198"/>
      <c r="AG206" s="198"/>
      <c r="AH206" s="198"/>
    </row>
    <row r="207" ht="15.75" customHeight="1">
      <c r="A207" s="198"/>
      <c r="B207" s="198"/>
      <c r="C207" s="198"/>
      <c r="D207" s="198"/>
      <c r="E207" s="198"/>
      <c r="F207" s="198"/>
      <c r="G207" s="199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9"/>
      <c r="W207" s="198"/>
      <c r="X207" s="198"/>
      <c r="Y207" s="198"/>
      <c r="Z207" s="198"/>
      <c r="AA207" s="198"/>
      <c r="AB207" s="198"/>
      <c r="AC207" s="198"/>
      <c r="AD207" s="198"/>
      <c r="AE207" s="198"/>
      <c r="AF207" s="198"/>
      <c r="AG207" s="198"/>
      <c r="AH207" s="198"/>
    </row>
    <row r="208" ht="15.75" customHeight="1">
      <c r="A208" s="198"/>
      <c r="B208" s="198"/>
      <c r="C208" s="198"/>
      <c r="D208" s="198"/>
      <c r="E208" s="198"/>
      <c r="F208" s="198"/>
      <c r="G208" s="199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9"/>
      <c r="W208" s="198"/>
      <c r="X208" s="198"/>
      <c r="Y208" s="198"/>
      <c r="Z208" s="198"/>
      <c r="AA208" s="198"/>
      <c r="AB208" s="198"/>
      <c r="AC208" s="198"/>
      <c r="AD208" s="198"/>
      <c r="AE208" s="198"/>
      <c r="AF208" s="198"/>
      <c r="AG208" s="198"/>
      <c r="AH208" s="198"/>
    </row>
    <row r="209" ht="15.75" customHeight="1">
      <c r="A209" s="198"/>
      <c r="B209" s="198"/>
      <c r="C209" s="198"/>
      <c r="D209" s="198"/>
      <c r="E209" s="198"/>
      <c r="F209" s="198"/>
      <c r="G209" s="199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9"/>
      <c r="W209" s="198"/>
      <c r="X209" s="198"/>
      <c r="Y209" s="198"/>
      <c r="Z209" s="198"/>
      <c r="AA209" s="198"/>
      <c r="AB209" s="198"/>
      <c r="AC209" s="198"/>
      <c r="AD209" s="198"/>
      <c r="AE209" s="198"/>
      <c r="AF209" s="198"/>
      <c r="AG209" s="198"/>
      <c r="AH209" s="198"/>
    </row>
    <row r="210" ht="15.75" customHeight="1">
      <c r="A210" s="198"/>
      <c r="B210" s="198"/>
      <c r="C210" s="198"/>
      <c r="D210" s="198"/>
      <c r="E210" s="198"/>
      <c r="F210" s="198"/>
      <c r="G210" s="199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9"/>
      <c r="W210" s="198"/>
      <c r="X210" s="198"/>
      <c r="Y210" s="198"/>
      <c r="Z210" s="198"/>
      <c r="AA210" s="198"/>
      <c r="AB210" s="198"/>
      <c r="AC210" s="198"/>
      <c r="AD210" s="198"/>
      <c r="AE210" s="198"/>
      <c r="AF210" s="198"/>
      <c r="AG210" s="198"/>
      <c r="AH210" s="198"/>
    </row>
    <row r="211" ht="15.75" customHeight="1">
      <c r="A211" s="198"/>
      <c r="B211" s="198"/>
      <c r="C211" s="198"/>
      <c r="D211" s="198"/>
      <c r="E211" s="198"/>
      <c r="F211" s="198"/>
      <c r="G211" s="199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9"/>
      <c r="W211" s="198"/>
      <c r="X211" s="198"/>
      <c r="Y211" s="198"/>
      <c r="Z211" s="198"/>
      <c r="AA211" s="198"/>
      <c r="AB211" s="198"/>
      <c r="AC211" s="198"/>
      <c r="AD211" s="198"/>
      <c r="AE211" s="198"/>
      <c r="AF211" s="198"/>
      <c r="AG211" s="198"/>
      <c r="AH211" s="198"/>
    </row>
    <row r="212" ht="15.75" customHeight="1">
      <c r="A212" s="198"/>
      <c r="B212" s="198"/>
      <c r="C212" s="198"/>
      <c r="D212" s="198"/>
      <c r="E212" s="198"/>
      <c r="F212" s="198"/>
      <c r="G212" s="199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9"/>
      <c r="W212" s="198"/>
      <c r="X212" s="198"/>
      <c r="Y212" s="198"/>
      <c r="Z212" s="198"/>
      <c r="AA212" s="198"/>
      <c r="AB212" s="198"/>
      <c r="AC212" s="198"/>
      <c r="AD212" s="198"/>
      <c r="AE212" s="198"/>
      <c r="AF212" s="198"/>
      <c r="AG212" s="198"/>
      <c r="AH212" s="198"/>
    </row>
    <row r="213" ht="15.75" customHeight="1">
      <c r="A213" s="198"/>
      <c r="B213" s="198"/>
      <c r="C213" s="198"/>
      <c r="D213" s="198"/>
      <c r="E213" s="198"/>
      <c r="F213" s="198"/>
      <c r="G213" s="199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9"/>
      <c r="W213" s="198"/>
      <c r="X213" s="198"/>
      <c r="Y213" s="198"/>
      <c r="Z213" s="198"/>
      <c r="AA213" s="198"/>
      <c r="AB213" s="198"/>
      <c r="AC213" s="198"/>
      <c r="AD213" s="198"/>
      <c r="AE213" s="198"/>
      <c r="AF213" s="198"/>
      <c r="AG213" s="198"/>
      <c r="AH213" s="198"/>
    </row>
    <row r="214" ht="15.75" customHeight="1">
      <c r="A214" s="198"/>
      <c r="B214" s="198"/>
      <c r="C214" s="198"/>
      <c r="D214" s="198"/>
      <c r="E214" s="198"/>
      <c r="F214" s="198"/>
      <c r="G214" s="199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9"/>
      <c r="W214" s="198"/>
      <c r="X214" s="198"/>
      <c r="Y214" s="198"/>
      <c r="Z214" s="198"/>
      <c r="AA214" s="198"/>
      <c r="AB214" s="198"/>
      <c r="AC214" s="198"/>
      <c r="AD214" s="198"/>
      <c r="AE214" s="198"/>
      <c r="AF214" s="198"/>
      <c r="AG214" s="198"/>
      <c r="AH214" s="198"/>
    </row>
    <row r="215" ht="15.75" customHeight="1">
      <c r="A215" s="198"/>
      <c r="B215" s="198"/>
      <c r="C215" s="198"/>
      <c r="D215" s="198"/>
      <c r="E215" s="198"/>
      <c r="F215" s="198"/>
      <c r="G215" s="199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9"/>
      <c r="W215" s="198"/>
      <c r="X215" s="198"/>
      <c r="Y215" s="198"/>
      <c r="Z215" s="198"/>
      <c r="AA215" s="198"/>
      <c r="AB215" s="198"/>
      <c r="AC215" s="198"/>
      <c r="AD215" s="198"/>
      <c r="AE215" s="198"/>
      <c r="AF215" s="198"/>
      <c r="AG215" s="198"/>
      <c r="AH215" s="198"/>
    </row>
    <row r="216" ht="15.75" customHeight="1">
      <c r="A216" s="198"/>
      <c r="B216" s="198"/>
      <c r="C216" s="198"/>
      <c r="D216" s="198"/>
      <c r="E216" s="198"/>
      <c r="F216" s="198"/>
      <c r="G216" s="199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9"/>
      <c r="W216" s="198"/>
      <c r="X216" s="198"/>
      <c r="Y216" s="198"/>
      <c r="Z216" s="198"/>
      <c r="AA216" s="198"/>
      <c r="AB216" s="198"/>
      <c r="AC216" s="198"/>
      <c r="AD216" s="198"/>
      <c r="AE216" s="198"/>
      <c r="AF216" s="198"/>
      <c r="AG216" s="198"/>
      <c r="AH216" s="198"/>
    </row>
    <row r="217" ht="15.75" customHeight="1">
      <c r="A217" s="198"/>
      <c r="B217" s="198"/>
      <c r="C217" s="198"/>
      <c r="D217" s="198"/>
      <c r="E217" s="198"/>
      <c r="F217" s="198"/>
      <c r="G217" s="199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9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</row>
    <row r="218" ht="15.75" customHeight="1">
      <c r="A218" s="198"/>
      <c r="B218" s="198"/>
      <c r="C218" s="198"/>
      <c r="D218" s="198"/>
      <c r="E218" s="198"/>
      <c r="F218" s="198"/>
      <c r="G218" s="199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9"/>
      <c r="W218" s="198"/>
      <c r="X218" s="198"/>
      <c r="Y218" s="198"/>
      <c r="Z218" s="198"/>
      <c r="AA218" s="198"/>
      <c r="AB218" s="198"/>
      <c r="AC218" s="198"/>
      <c r="AD218" s="198"/>
      <c r="AE218" s="198"/>
      <c r="AF218" s="198"/>
      <c r="AG218" s="198"/>
      <c r="AH218" s="198"/>
    </row>
    <row r="219" ht="15.75" customHeight="1">
      <c r="A219" s="198"/>
      <c r="B219" s="198"/>
      <c r="C219" s="198"/>
      <c r="D219" s="198"/>
      <c r="E219" s="198"/>
      <c r="F219" s="198"/>
      <c r="G219" s="199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9"/>
      <c r="W219" s="198"/>
      <c r="X219" s="198"/>
      <c r="Y219" s="198"/>
      <c r="Z219" s="198"/>
      <c r="AA219" s="198"/>
      <c r="AB219" s="198"/>
      <c r="AC219" s="198"/>
      <c r="AD219" s="198"/>
      <c r="AE219" s="198"/>
      <c r="AF219" s="198"/>
      <c r="AG219" s="198"/>
      <c r="AH219" s="198"/>
    </row>
    <row r="220" ht="15.75" customHeight="1">
      <c r="A220" s="198"/>
      <c r="B220" s="198"/>
      <c r="C220" s="198"/>
      <c r="D220" s="198"/>
      <c r="E220" s="198"/>
      <c r="F220" s="198"/>
      <c r="G220" s="199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9"/>
      <c r="W220" s="198"/>
      <c r="X220" s="198"/>
      <c r="Y220" s="198"/>
      <c r="Z220" s="198"/>
      <c r="AA220" s="198"/>
      <c r="AB220" s="198"/>
      <c r="AC220" s="198"/>
      <c r="AD220" s="198"/>
      <c r="AE220" s="198"/>
      <c r="AF220" s="198"/>
      <c r="AG220" s="198"/>
      <c r="AH220" s="198"/>
    </row>
    <row r="221" ht="15.75" customHeight="1">
      <c r="A221" s="198"/>
      <c r="B221" s="198"/>
      <c r="C221" s="198"/>
      <c r="D221" s="198"/>
      <c r="E221" s="198"/>
      <c r="F221" s="198"/>
      <c r="G221" s="199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9"/>
      <c r="W221" s="198"/>
      <c r="X221" s="198"/>
      <c r="Y221" s="198"/>
      <c r="Z221" s="198"/>
      <c r="AA221" s="198"/>
      <c r="AB221" s="198"/>
      <c r="AC221" s="198"/>
      <c r="AD221" s="198"/>
      <c r="AE221" s="198"/>
      <c r="AF221" s="198"/>
      <c r="AG221" s="198"/>
      <c r="AH221" s="198"/>
    </row>
    <row r="222" ht="15.75" customHeight="1">
      <c r="A222" s="198"/>
      <c r="B222" s="198"/>
      <c r="C222" s="198"/>
      <c r="D222" s="198"/>
      <c r="E222" s="198"/>
      <c r="F222" s="198"/>
      <c r="G222" s="199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9"/>
      <c r="W222" s="198"/>
      <c r="X222" s="198"/>
      <c r="Y222" s="198"/>
      <c r="Z222" s="198"/>
      <c r="AA222" s="198"/>
      <c r="AB222" s="198"/>
      <c r="AC222" s="198"/>
      <c r="AD222" s="198"/>
      <c r="AE222" s="198"/>
      <c r="AF222" s="198"/>
      <c r="AG222" s="198"/>
      <c r="AH222" s="198"/>
    </row>
    <row r="223" ht="15.75" customHeight="1">
      <c r="A223" s="198"/>
      <c r="B223" s="198"/>
      <c r="C223" s="198"/>
      <c r="D223" s="198"/>
      <c r="E223" s="198"/>
      <c r="F223" s="198"/>
      <c r="G223" s="199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9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</row>
    <row r="224" ht="15.75" customHeight="1">
      <c r="A224" s="198"/>
      <c r="B224" s="198"/>
      <c r="C224" s="198"/>
      <c r="D224" s="198"/>
      <c r="E224" s="198"/>
      <c r="F224" s="198"/>
      <c r="G224" s="199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9"/>
      <c r="W224" s="198"/>
      <c r="X224" s="198"/>
      <c r="Y224" s="198"/>
      <c r="Z224" s="198"/>
      <c r="AA224" s="198"/>
      <c r="AB224" s="198"/>
      <c r="AC224" s="198"/>
      <c r="AD224" s="198"/>
      <c r="AE224" s="198"/>
      <c r="AF224" s="198"/>
      <c r="AG224" s="198"/>
      <c r="AH224" s="198"/>
    </row>
    <row r="225" ht="15.75" customHeight="1">
      <c r="A225" s="198"/>
      <c r="B225" s="198"/>
      <c r="C225" s="198"/>
      <c r="D225" s="198"/>
      <c r="E225" s="198"/>
      <c r="F225" s="198"/>
      <c r="G225" s="199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9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</row>
    <row r="226" ht="15.75" customHeight="1">
      <c r="A226" s="198"/>
      <c r="B226" s="198"/>
      <c r="C226" s="198"/>
      <c r="D226" s="198"/>
      <c r="E226" s="198"/>
      <c r="F226" s="198"/>
      <c r="G226" s="199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9"/>
      <c r="W226" s="198"/>
      <c r="X226" s="198"/>
      <c r="Y226" s="198"/>
      <c r="Z226" s="198"/>
      <c r="AA226" s="198"/>
      <c r="AB226" s="198"/>
      <c r="AC226" s="198"/>
      <c r="AD226" s="198"/>
      <c r="AE226" s="198"/>
      <c r="AF226" s="198"/>
      <c r="AG226" s="198"/>
      <c r="AH226" s="198"/>
    </row>
    <row r="227" ht="15.75" customHeight="1">
      <c r="A227" s="198"/>
      <c r="B227" s="198"/>
      <c r="C227" s="198"/>
      <c r="D227" s="198"/>
      <c r="E227" s="198"/>
      <c r="F227" s="198"/>
      <c r="G227" s="199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9"/>
      <c r="W227" s="198"/>
      <c r="X227" s="198"/>
      <c r="Y227" s="198"/>
      <c r="Z227" s="198"/>
      <c r="AA227" s="198"/>
      <c r="AB227" s="198"/>
      <c r="AC227" s="198"/>
      <c r="AD227" s="198"/>
      <c r="AE227" s="198"/>
      <c r="AF227" s="198"/>
      <c r="AG227" s="198"/>
      <c r="AH227" s="198"/>
    </row>
    <row r="228" ht="15.75" customHeight="1">
      <c r="A228" s="198"/>
      <c r="B228" s="198"/>
      <c r="C228" s="198"/>
      <c r="D228" s="198"/>
      <c r="E228" s="198"/>
      <c r="F228" s="198"/>
      <c r="G228" s="199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9"/>
      <c r="W228" s="198"/>
      <c r="X228" s="198"/>
      <c r="Y228" s="198"/>
      <c r="Z228" s="198"/>
      <c r="AA228" s="198"/>
      <c r="AB228" s="198"/>
      <c r="AC228" s="198"/>
      <c r="AD228" s="198"/>
      <c r="AE228" s="198"/>
      <c r="AF228" s="198"/>
      <c r="AG228" s="198"/>
      <c r="AH228" s="198"/>
    </row>
    <row r="229" ht="15.75" customHeight="1">
      <c r="A229" s="198"/>
      <c r="B229" s="198"/>
      <c r="C229" s="198"/>
      <c r="D229" s="198"/>
      <c r="E229" s="198"/>
      <c r="F229" s="198"/>
      <c r="G229" s="199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9"/>
      <c r="W229" s="198"/>
      <c r="X229" s="198"/>
      <c r="Y229" s="198"/>
      <c r="Z229" s="198"/>
      <c r="AA229" s="198"/>
      <c r="AB229" s="198"/>
      <c r="AC229" s="198"/>
      <c r="AD229" s="198"/>
      <c r="AE229" s="198"/>
      <c r="AF229" s="198"/>
      <c r="AG229" s="198"/>
      <c r="AH229" s="198"/>
    </row>
    <row r="230" ht="15.75" customHeight="1">
      <c r="A230" s="198"/>
      <c r="B230" s="198"/>
      <c r="C230" s="198"/>
      <c r="D230" s="198"/>
      <c r="E230" s="198"/>
      <c r="F230" s="198"/>
      <c r="G230" s="199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9"/>
      <c r="W230" s="198"/>
      <c r="X230" s="198"/>
      <c r="Y230" s="198"/>
      <c r="Z230" s="198"/>
      <c r="AA230" s="198"/>
      <c r="AB230" s="198"/>
      <c r="AC230" s="198"/>
      <c r="AD230" s="198"/>
      <c r="AE230" s="198"/>
      <c r="AF230" s="198"/>
      <c r="AG230" s="198"/>
      <c r="AH230" s="198"/>
    </row>
    <row r="231" ht="15.75" customHeight="1">
      <c r="A231" s="198"/>
      <c r="B231" s="198"/>
      <c r="C231" s="198"/>
      <c r="D231" s="198"/>
      <c r="E231" s="198"/>
      <c r="F231" s="198"/>
      <c r="G231" s="199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9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</row>
    <row r="232" ht="15.75" customHeight="1">
      <c r="A232" s="198"/>
      <c r="B232" s="198"/>
      <c r="C232" s="198"/>
      <c r="D232" s="198"/>
      <c r="E232" s="198"/>
      <c r="F232" s="198"/>
      <c r="G232" s="199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9"/>
      <c r="W232" s="198"/>
      <c r="X232" s="198"/>
      <c r="Y232" s="198"/>
      <c r="Z232" s="198"/>
      <c r="AA232" s="198"/>
      <c r="AB232" s="198"/>
      <c r="AC232" s="198"/>
      <c r="AD232" s="198"/>
      <c r="AE232" s="198"/>
      <c r="AF232" s="198"/>
      <c r="AG232" s="198"/>
      <c r="AH232" s="198"/>
    </row>
    <row r="233" ht="15.75" customHeight="1">
      <c r="A233" s="198"/>
      <c r="B233" s="198"/>
      <c r="C233" s="198"/>
      <c r="D233" s="198"/>
      <c r="E233" s="198"/>
      <c r="F233" s="198"/>
      <c r="G233" s="199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9"/>
      <c r="W233" s="198"/>
      <c r="X233" s="198"/>
      <c r="Y233" s="198"/>
      <c r="Z233" s="198"/>
      <c r="AA233" s="198"/>
      <c r="AB233" s="198"/>
      <c r="AC233" s="198"/>
      <c r="AD233" s="198"/>
      <c r="AE233" s="198"/>
      <c r="AF233" s="198"/>
      <c r="AG233" s="198"/>
      <c r="AH233" s="198"/>
    </row>
    <row r="234" ht="15.75" customHeight="1">
      <c r="A234" s="198"/>
      <c r="B234" s="198"/>
      <c r="C234" s="198"/>
      <c r="D234" s="198"/>
      <c r="E234" s="198"/>
      <c r="F234" s="198"/>
      <c r="G234" s="199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9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</row>
    <row r="235" ht="15.75" customHeight="1">
      <c r="A235" s="198"/>
      <c r="B235" s="198"/>
      <c r="C235" s="198"/>
      <c r="D235" s="198"/>
      <c r="E235" s="198"/>
      <c r="F235" s="198"/>
      <c r="G235" s="199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9"/>
      <c r="W235" s="198"/>
      <c r="X235" s="198"/>
      <c r="Y235" s="198"/>
      <c r="Z235" s="198"/>
      <c r="AA235" s="198"/>
      <c r="AB235" s="198"/>
      <c r="AC235" s="198"/>
      <c r="AD235" s="198"/>
      <c r="AE235" s="198"/>
      <c r="AF235" s="198"/>
      <c r="AG235" s="198"/>
      <c r="AH235" s="198"/>
    </row>
    <row r="236" ht="15.75" customHeight="1">
      <c r="A236" s="198"/>
      <c r="B236" s="198"/>
      <c r="C236" s="198"/>
      <c r="D236" s="198"/>
      <c r="E236" s="198"/>
      <c r="F236" s="198"/>
      <c r="G236" s="199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9"/>
      <c r="W236" s="198"/>
      <c r="X236" s="198"/>
      <c r="Y236" s="198"/>
      <c r="Z236" s="198"/>
      <c r="AA236" s="198"/>
      <c r="AB236" s="198"/>
      <c r="AC236" s="198"/>
      <c r="AD236" s="198"/>
      <c r="AE236" s="198"/>
      <c r="AF236" s="198"/>
      <c r="AG236" s="198"/>
      <c r="AH236" s="198"/>
    </row>
    <row r="237" ht="15.75" customHeight="1">
      <c r="A237" s="198"/>
      <c r="B237" s="198"/>
      <c r="C237" s="198"/>
      <c r="D237" s="198"/>
      <c r="E237" s="198"/>
      <c r="F237" s="198"/>
      <c r="G237" s="199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9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</row>
    <row r="238" ht="15.75" customHeight="1">
      <c r="A238" s="198"/>
      <c r="B238" s="198"/>
      <c r="C238" s="198"/>
      <c r="D238" s="198"/>
      <c r="E238" s="198"/>
      <c r="F238" s="198"/>
      <c r="G238" s="199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9"/>
      <c r="W238" s="198"/>
      <c r="X238" s="198"/>
      <c r="Y238" s="198"/>
      <c r="Z238" s="198"/>
      <c r="AA238" s="198"/>
      <c r="AB238" s="198"/>
      <c r="AC238" s="198"/>
      <c r="AD238" s="198"/>
      <c r="AE238" s="198"/>
      <c r="AF238" s="198"/>
      <c r="AG238" s="198"/>
      <c r="AH238" s="198"/>
    </row>
    <row r="239" ht="15.75" customHeight="1">
      <c r="A239" s="198"/>
      <c r="B239" s="198"/>
      <c r="C239" s="198"/>
      <c r="D239" s="198"/>
      <c r="E239" s="198"/>
      <c r="F239" s="198"/>
      <c r="G239" s="199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9"/>
      <c r="W239" s="198"/>
      <c r="X239" s="198"/>
      <c r="Y239" s="198"/>
      <c r="Z239" s="198"/>
      <c r="AA239" s="198"/>
      <c r="AB239" s="198"/>
      <c r="AC239" s="198"/>
      <c r="AD239" s="198"/>
      <c r="AE239" s="198"/>
      <c r="AF239" s="198"/>
      <c r="AG239" s="198"/>
      <c r="AH239" s="198"/>
    </row>
    <row r="240" ht="15.75" customHeight="1">
      <c r="A240" s="198"/>
      <c r="B240" s="198"/>
      <c r="C240" s="198"/>
      <c r="D240" s="198"/>
      <c r="E240" s="198"/>
      <c r="F240" s="198"/>
      <c r="G240" s="199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9"/>
      <c r="W240" s="198"/>
      <c r="X240" s="198"/>
      <c r="Y240" s="198"/>
      <c r="Z240" s="198"/>
      <c r="AA240" s="198"/>
      <c r="AB240" s="198"/>
      <c r="AC240" s="198"/>
      <c r="AD240" s="198"/>
      <c r="AE240" s="198"/>
      <c r="AF240" s="198"/>
      <c r="AG240" s="198"/>
      <c r="AH240" s="198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24">
    <mergeCell ref="N2:R2"/>
    <mergeCell ref="M4:R4"/>
    <mergeCell ref="M5:R5"/>
    <mergeCell ref="A1:B1"/>
    <mergeCell ref="C1:D1"/>
    <mergeCell ref="E1:M1"/>
    <mergeCell ref="N1:R1"/>
    <mergeCell ref="C2:D2"/>
    <mergeCell ref="E2:M2"/>
    <mergeCell ref="C3:R3"/>
    <mergeCell ref="C5:D5"/>
    <mergeCell ref="E5:I5"/>
    <mergeCell ref="B29:D29"/>
    <mergeCell ref="B37:D37"/>
    <mergeCell ref="B38:D38"/>
    <mergeCell ref="B39:D39"/>
    <mergeCell ref="B40:D40"/>
    <mergeCell ref="A2:B2"/>
    <mergeCell ref="A3:B3"/>
    <mergeCell ref="A4:B4"/>
    <mergeCell ref="C4:D4"/>
    <mergeCell ref="E4:I4"/>
    <mergeCell ref="J4:L4"/>
    <mergeCell ref="A5:B5"/>
  </mergeCells>
  <dataValidations>
    <dataValidation type="list" allowBlank="1" showInputMessage="1" showErrorMessage="1" prompt=" - " sqref="E38:L38">
      <formula1>"P,F"</formula1>
    </dataValidation>
    <dataValidation type="list" allowBlank="1" showInputMessage="1" showErrorMessage="1" prompt=" - " sqref="E8:L36">
      <formula1>"O"</formula1>
    </dataValidation>
    <dataValidation type="list" allowBlank="1" showInputMessage="1" showErrorMessage="1" prompt=" - " sqref="E37:L37">
      <formula1>"N,A,B"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8.75"/>
    <col customWidth="1" min="4" max="4" width="21.38"/>
    <col customWidth="1" min="5" max="23" width="4.88"/>
    <col customWidth="1" min="24" max="24" width="4.5"/>
  </cols>
  <sheetData>
    <row r="1">
      <c r="A1" s="159" t="s">
        <v>195</v>
      </c>
      <c r="B1" s="160"/>
      <c r="C1" s="161" t="s">
        <v>196</v>
      </c>
      <c r="D1" s="162"/>
      <c r="E1" s="163" t="s">
        <v>197</v>
      </c>
      <c r="F1" s="160"/>
      <c r="G1" s="160"/>
      <c r="H1" s="160"/>
      <c r="I1" s="160"/>
      <c r="J1" s="160"/>
      <c r="K1" s="164" t="s">
        <v>281</v>
      </c>
      <c r="L1" s="160"/>
      <c r="M1" s="160"/>
      <c r="N1" s="160"/>
      <c r="O1" s="160"/>
      <c r="P1" s="160"/>
      <c r="Q1" s="160"/>
      <c r="R1" s="160"/>
      <c r="S1" s="165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</row>
    <row r="2">
      <c r="A2" s="168" t="s">
        <v>199</v>
      </c>
      <c r="B2" s="169"/>
      <c r="C2" s="170" t="s">
        <v>159</v>
      </c>
      <c r="D2" s="169"/>
      <c r="E2" s="171" t="s">
        <v>200</v>
      </c>
      <c r="F2" s="172"/>
      <c r="G2" s="172"/>
      <c r="H2" s="172"/>
      <c r="I2" s="172"/>
      <c r="J2" s="172"/>
      <c r="K2" s="302" t="s">
        <v>159</v>
      </c>
      <c r="L2" s="172"/>
      <c r="M2" s="172"/>
      <c r="N2" s="172"/>
      <c r="O2" s="172"/>
      <c r="P2" s="172"/>
      <c r="Q2" s="172"/>
      <c r="R2" s="172"/>
      <c r="S2" s="175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</row>
    <row r="3">
      <c r="A3" s="179" t="s">
        <v>201</v>
      </c>
      <c r="B3" s="17"/>
      <c r="C3" s="180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81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</row>
    <row r="4">
      <c r="A4" s="183" t="s">
        <v>164</v>
      </c>
      <c r="B4" s="17"/>
      <c r="C4" s="184" t="s">
        <v>165</v>
      </c>
      <c r="D4" s="17"/>
      <c r="E4" s="184" t="s">
        <v>166</v>
      </c>
      <c r="F4" s="16"/>
      <c r="G4" s="16"/>
      <c r="H4" s="16"/>
      <c r="I4" s="16"/>
      <c r="J4" s="185" t="s">
        <v>202</v>
      </c>
      <c r="K4" s="16"/>
      <c r="L4" s="16"/>
      <c r="M4" s="184" t="s">
        <v>169</v>
      </c>
      <c r="N4" s="16"/>
      <c r="O4" s="16"/>
      <c r="P4" s="16"/>
      <c r="Q4" s="16"/>
      <c r="R4" s="16"/>
      <c r="S4" s="181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</row>
    <row r="5">
      <c r="A5" s="188">
        <f>COUNTIF(E26:IA26,"P")</f>
        <v>18</v>
      </c>
      <c r="B5" s="189"/>
      <c r="C5" s="190">
        <f>COUNTIF(E26:IA26,"F")</f>
        <v>0</v>
      </c>
      <c r="D5" s="189"/>
      <c r="E5" s="191">
        <f>SUM(M5,-A5,-C5)</f>
        <v>0</v>
      </c>
      <c r="F5" s="192"/>
      <c r="G5" s="192"/>
      <c r="H5" s="192"/>
      <c r="I5" s="192"/>
      <c r="J5" s="193">
        <f>COUNTIF(A25:HW25,"N")</f>
        <v>2</v>
      </c>
      <c r="K5" s="193">
        <f>COUNTIF(B25:HX25,"A")</f>
        <v>13</v>
      </c>
      <c r="L5" s="193">
        <f>COUNTIF(C25:HY25,"B")</f>
        <v>3</v>
      </c>
      <c r="M5" s="190">
        <f>COUNTA(A7:HO7)</f>
        <v>18</v>
      </c>
      <c r="N5" s="192"/>
      <c r="O5" s="192"/>
      <c r="P5" s="192"/>
      <c r="Q5" s="192"/>
      <c r="R5" s="192"/>
      <c r="S5" s="194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</row>
    <row r="6">
      <c r="A6" s="198"/>
      <c r="B6" s="198"/>
      <c r="C6" s="198"/>
      <c r="D6" s="198"/>
      <c r="E6" s="198"/>
      <c r="F6" s="198"/>
      <c r="G6" s="199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</row>
    <row r="7" ht="48.0" customHeight="1">
      <c r="A7" s="200"/>
      <c r="B7" s="201"/>
      <c r="C7" s="201"/>
      <c r="D7" s="201"/>
      <c r="E7" s="202" t="s">
        <v>203</v>
      </c>
      <c r="F7" s="202" t="s">
        <v>204</v>
      </c>
      <c r="G7" s="202" t="s">
        <v>205</v>
      </c>
      <c r="H7" s="202" t="s">
        <v>206</v>
      </c>
      <c r="I7" s="202" t="s">
        <v>207</v>
      </c>
      <c r="J7" s="202" t="s">
        <v>208</v>
      </c>
      <c r="K7" s="202" t="s">
        <v>209</v>
      </c>
      <c r="L7" s="202" t="s">
        <v>210</v>
      </c>
      <c r="M7" s="202" t="s">
        <v>211</v>
      </c>
      <c r="N7" s="202" t="s">
        <v>212</v>
      </c>
      <c r="O7" s="202" t="s">
        <v>213</v>
      </c>
      <c r="P7" s="202" t="s">
        <v>214</v>
      </c>
      <c r="Q7" s="202" t="s">
        <v>215</v>
      </c>
      <c r="R7" s="202" t="s">
        <v>216</v>
      </c>
      <c r="S7" s="202" t="s">
        <v>217</v>
      </c>
      <c r="T7" s="202" t="s">
        <v>218</v>
      </c>
      <c r="U7" s="202" t="s">
        <v>282</v>
      </c>
      <c r="V7" s="202" t="s">
        <v>283</v>
      </c>
      <c r="W7" s="198"/>
      <c r="X7" s="198"/>
      <c r="Y7" s="198"/>
      <c r="Z7" s="198"/>
      <c r="AA7" s="203"/>
      <c r="AB7" s="203"/>
      <c r="AC7" s="203"/>
      <c r="AD7" s="203"/>
      <c r="AE7" s="203"/>
      <c r="AF7" s="203"/>
      <c r="AG7" s="203"/>
    </row>
    <row r="8">
      <c r="A8" s="204" t="s">
        <v>219</v>
      </c>
      <c r="B8" s="205" t="s">
        <v>220</v>
      </c>
      <c r="C8" s="262"/>
      <c r="D8" s="263"/>
      <c r="E8" s="264"/>
      <c r="F8" s="264"/>
      <c r="G8" s="209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199"/>
      <c r="X8" s="199"/>
      <c r="Y8" s="199"/>
      <c r="Z8" s="199"/>
      <c r="AA8" s="265"/>
      <c r="AB8" s="265"/>
      <c r="AC8" s="265"/>
      <c r="AD8" s="265"/>
      <c r="AE8" s="265"/>
      <c r="AF8" s="265"/>
      <c r="AG8" s="265"/>
    </row>
    <row r="9">
      <c r="A9" s="266"/>
      <c r="B9" s="267"/>
      <c r="C9" s="268"/>
      <c r="D9" s="213" t="s">
        <v>221</v>
      </c>
      <c r="E9" s="214" t="s">
        <v>222</v>
      </c>
      <c r="F9" s="214" t="s">
        <v>222</v>
      </c>
      <c r="G9" s="214" t="s">
        <v>222</v>
      </c>
      <c r="H9" s="214" t="s">
        <v>222</v>
      </c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199"/>
      <c r="X9" s="199"/>
      <c r="Y9" s="199"/>
      <c r="Z9" s="199"/>
      <c r="AA9" s="265"/>
      <c r="AB9" s="265"/>
      <c r="AC9" s="265"/>
      <c r="AD9" s="265"/>
      <c r="AE9" s="265"/>
      <c r="AF9" s="265"/>
      <c r="AG9" s="265"/>
    </row>
    <row r="10">
      <c r="A10" s="266"/>
      <c r="B10" s="215" t="s">
        <v>284</v>
      </c>
      <c r="C10" s="268"/>
      <c r="D10" s="303"/>
      <c r="E10" s="264"/>
      <c r="F10" s="264"/>
      <c r="G10" s="209"/>
      <c r="H10" s="264"/>
      <c r="I10" s="264"/>
      <c r="J10" s="264"/>
      <c r="K10" s="219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199"/>
      <c r="X10" s="199"/>
      <c r="Y10" s="199"/>
      <c r="Z10" s="199"/>
      <c r="AA10" s="265"/>
      <c r="AB10" s="265"/>
      <c r="AC10" s="265"/>
      <c r="AD10" s="265"/>
      <c r="AE10" s="265"/>
      <c r="AF10" s="265"/>
      <c r="AG10" s="265"/>
    </row>
    <row r="11">
      <c r="A11" s="266"/>
      <c r="B11" s="304"/>
      <c r="C11" s="305" t="s">
        <v>285</v>
      </c>
      <c r="D11" s="218" t="s">
        <v>286</v>
      </c>
      <c r="E11" s="209" t="s">
        <v>222</v>
      </c>
      <c r="F11" s="264"/>
      <c r="G11" s="306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64"/>
      <c r="U11" s="209"/>
      <c r="V11" s="209"/>
      <c r="W11" s="199"/>
      <c r="X11" s="199"/>
      <c r="Y11" s="199"/>
      <c r="Z11" s="199"/>
      <c r="AA11" s="265"/>
      <c r="AB11" s="265"/>
      <c r="AC11" s="265"/>
      <c r="AD11" s="265"/>
      <c r="AE11" s="265"/>
      <c r="AF11" s="265"/>
      <c r="AG11" s="265"/>
    </row>
    <row r="12">
      <c r="A12" s="266"/>
      <c r="B12" s="304"/>
      <c r="C12" s="305" t="s">
        <v>287</v>
      </c>
      <c r="D12" s="218" t="s">
        <v>286</v>
      </c>
      <c r="E12" s="264"/>
      <c r="F12" s="209" t="s">
        <v>222</v>
      </c>
      <c r="G12" s="306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199"/>
      <c r="X12" s="199"/>
      <c r="Y12" s="199"/>
      <c r="Z12" s="199"/>
      <c r="AA12" s="265"/>
      <c r="AB12" s="265"/>
      <c r="AC12" s="265"/>
      <c r="AD12" s="265"/>
      <c r="AE12" s="265"/>
      <c r="AF12" s="265"/>
      <c r="AG12" s="265"/>
    </row>
    <row r="13">
      <c r="A13" s="266"/>
      <c r="B13" s="304"/>
      <c r="C13" s="305" t="s">
        <v>288</v>
      </c>
      <c r="D13" s="213"/>
      <c r="E13" s="264"/>
      <c r="F13" s="209"/>
      <c r="G13" s="209" t="s">
        <v>222</v>
      </c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199"/>
      <c r="X13" s="199"/>
      <c r="Y13" s="199"/>
      <c r="Z13" s="199"/>
      <c r="AA13" s="265"/>
      <c r="AB13" s="265"/>
      <c r="AC13" s="265"/>
      <c r="AD13" s="265"/>
      <c r="AE13" s="265"/>
      <c r="AF13" s="265"/>
      <c r="AG13" s="265"/>
    </row>
    <row r="14">
      <c r="A14" s="266"/>
      <c r="B14" s="304"/>
      <c r="C14" s="305" t="s">
        <v>289</v>
      </c>
      <c r="D14" s="218" t="s">
        <v>290</v>
      </c>
      <c r="E14" s="264"/>
      <c r="F14" s="209"/>
      <c r="G14" s="306"/>
      <c r="H14" s="209" t="s">
        <v>222</v>
      </c>
      <c r="I14" s="264"/>
      <c r="J14" s="264"/>
      <c r="K14" s="264"/>
      <c r="L14" s="264"/>
      <c r="M14" s="264"/>
      <c r="N14" s="264"/>
      <c r="O14" s="264"/>
      <c r="P14" s="264"/>
      <c r="Q14" s="264"/>
      <c r="R14" s="264"/>
      <c r="S14" s="264"/>
      <c r="T14" s="264"/>
      <c r="U14" s="264"/>
      <c r="V14" s="264"/>
      <c r="W14" s="199"/>
      <c r="X14" s="199"/>
      <c r="Y14" s="199"/>
      <c r="Z14" s="199"/>
      <c r="AA14" s="265"/>
      <c r="AB14" s="265"/>
      <c r="AC14" s="265"/>
      <c r="AD14" s="265"/>
      <c r="AE14" s="265"/>
      <c r="AF14" s="265"/>
      <c r="AG14" s="265"/>
    </row>
    <row r="15">
      <c r="A15" s="220"/>
      <c r="B15" s="211"/>
      <c r="C15" s="212"/>
      <c r="D15" s="213" t="s">
        <v>262</v>
      </c>
      <c r="E15" s="222"/>
      <c r="F15" s="222"/>
      <c r="G15" s="222"/>
      <c r="H15" s="222"/>
      <c r="I15" s="223"/>
      <c r="J15" s="222"/>
      <c r="K15" s="222"/>
      <c r="L15" s="222"/>
      <c r="M15" s="222"/>
      <c r="N15" s="208"/>
      <c r="O15" s="208"/>
      <c r="P15" s="208"/>
      <c r="Q15" s="208"/>
      <c r="R15" s="208"/>
      <c r="S15" s="208"/>
      <c r="T15" s="209"/>
      <c r="U15" s="209"/>
      <c r="V15" s="264"/>
      <c r="W15" s="198"/>
      <c r="X15" s="198"/>
      <c r="Y15" s="198"/>
      <c r="Z15" s="198"/>
      <c r="AA15" s="198"/>
      <c r="AB15" s="198"/>
      <c r="AC15" s="198"/>
      <c r="AD15" s="203"/>
      <c r="AE15" s="203"/>
      <c r="AF15" s="203"/>
      <c r="AG15" s="203"/>
    </row>
    <row r="16" ht="15.75" customHeight="1">
      <c r="A16" s="226" t="s">
        <v>238</v>
      </c>
      <c r="B16" s="227" t="s">
        <v>239</v>
      </c>
      <c r="C16" s="228"/>
      <c r="D16" s="229"/>
      <c r="E16" s="272"/>
      <c r="F16" s="272"/>
      <c r="G16" s="223"/>
      <c r="H16" s="272"/>
      <c r="I16" s="272"/>
      <c r="J16" s="272"/>
      <c r="K16" s="272"/>
      <c r="L16" s="272"/>
      <c r="M16" s="272"/>
      <c r="N16" s="264"/>
      <c r="O16" s="264"/>
      <c r="P16" s="264"/>
      <c r="Q16" s="264"/>
      <c r="R16" s="264"/>
      <c r="S16" s="264"/>
      <c r="T16" s="264"/>
      <c r="U16" s="264"/>
      <c r="V16" s="264"/>
      <c r="W16" s="199"/>
      <c r="X16" s="199"/>
      <c r="Y16" s="199"/>
      <c r="Z16" s="199"/>
      <c r="AA16" s="265"/>
      <c r="AB16" s="265"/>
      <c r="AC16" s="265"/>
      <c r="AD16" s="265"/>
      <c r="AE16" s="265"/>
      <c r="AF16" s="265"/>
      <c r="AG16" s="265"/>
    </row>
    <row r="17" ht="15.75" customHeight="1">
      <c r="A17" s="307"/>
      <c r="B17" s="231"/>
      <c r="C17" s="228"/>
      <c r="D17" s="232" t="b">
        <v>1</v>
      </c>
      <c r="E17" s="214" t="s">
        <v>222</v>
      </c>
      <c r="F17" s="264"/>
      <c r="G17" s="209"/>
      <c r="H17" s="264"/>
      <c r="I17" s="264"/>
      <c r="J17" s="264"/>
      <c r="K17" s="209"/>
      <c r="L17" s="264"/>
      <c r="M17" s="264"/>
      <c r="N17" s="264"/>
      <c r="O17" s="264"/>
      <c r="P17" s="264"/>
      <c r="Q17" s="264"/>
      <c r="R17" s="264"/>
      <c r="S17" s="264"/>
      <c r="T17" s="264"/>
      <c r="U17" s="264"/>
      <c r="V17" s="264"/>
      <c r="W17" s="199"/>
      <c r="X17" s="199"/>
      <c r="Y17" s="199"/>
      <c r="Z17" s="199"/>
      <c r="AA17" s="265"/>
      <c r="AB17" s="265"/>
      <c r="AC17" s="265"/>
      <c r="AD17" s="265"/>
      <c r="AE17" s="265"/>
      <c r="AF17" s="265"/>
      <c r="AG17" s="265"/>
    </row>
    <row r="18" ht="15.75" customHeight="1">
      <c r="A18" s="307"/>
      <c r="B18" s="234"/>
      <c r="C18" s="235"/>
      <c r="D18" s="232" t="b">
        <v>0</v>
      </c>
      <c r="E18" s="274"/>
      <c r="F18" s="276" t="s">
        <v>222</v>
      </c>
      <c r="G18" s="276" t="s">
        <v>222</v>
      </c>
      <c r="H18" s="276" t="s">
        <v>222</v>
      </c>
      <c r="I18" s="276"/>
      <c r="J18" s="276"/>
      <c r="K18" s="276"/>
      <c r="L18" s="276"/>
      <c r="M18" s="276"/>
      <c r="N18" s="276"/>
      <c r="O18" s="276"/>
      <c r="P18" s="276"/>
      <c r="Q18" s="276"/>
      <c r="R18" s="276"/>
      <c r="S18" s="276"/>
      <c r="T18" s="276"/>
      <c r="U18" s="276"/>
      <c r="V18" s="276"/>
      <c r="W18" s="199"/>
      <c r="X18" s="199"/>
      <c r="Y18" s="199"/>
      <c r="Z18" s="199"/>
      <c r="AA18" s="265"/>
      <c r="AB18" s="265"/>
      <c r="AC18" s="265"/>
      <c r="AD18" s="265"/>
      <c r="AE18" s="265"/>
      <c r="AF18" s="265"/>
      <c r="AG18" s="265"/>
    </row>
    <row r="19" ht="15.75" customHeight="1">
      <c r="A19" s="307"/>
      <c r="B19" s="236" t="s">
        <v>240</v>
      </c>
      <c r="C19" s="277"/>
      <c r="D19" s="278"/>
      <c r="E19" s="272"/>
      <c r="F19" s="272"/>
      <c r="G19" s="223"/>
      <c r="H19" s="272"/>
      <c r="I19" s="272"/>
      <c r="J19" s="272"/>
      <c r="K19" s="272"/>
      <c r="L19" s="272"/>
      <c r="M19" s="272"/>
      <c r="N19" s="264"/>
      <c r="O19" s="264"/>
      <c r="P19" s="264"/>
      <c r="Q19" s="264"/>
      <c r="R19" s="264"/>
      <c r="S19" s="264"/>
      <c r="T19" s="264"/>
      <c r="U19" s="264"/>
      <c r="V19" s="264"/>
      <c r="W19" s="199"/>
      <c r="X19" s="199"/>
      <c r="Y19" s="199"/>
      <c r="Z19" s="199"/>
      <c r="AA19" s="265"/>
      <c r="AB19" s="265"/>
      <c r="AC19" s="265"/>
      <c r="AD19" s="265"/>
      <c r="AE19" s="265"/>
      <c r="AF19" s="265"/>
      <c r="AG19" s="265"/>
    </row>
    <row r="20" ht="15.75" customHeight="1">
      <c r="A20" s="307"/>
      <c r="B20" s="237"/>
      <c r="C20" s="280"/>
      <c r="D20" s="281"/>
      <c r="E20" s="272"/>
      <c r="F20" s="272"/>
      <c r="G20" s="223"/>
      <c r="H20" s="272"/>
      <c r="I20" s="272"/>
      <c r="J20" s="272"/>
      <c r="K20" s="272"/>
      <c r="L20" s="272"/>
      <c r="M20" s="272"/>
      <c r="N20" s="264"/>
      <c r="O20" s="264"/>
      <c r="P20" s="264"/>
      <c r="Q20" s="264"/>
      <c r="R20" s="264"/>
      <c r="S20" s="264"/>
      <c r="T20" s="264"/>
      <c r="U20" s="264"/>
      <c r="V20" s="264"/>
      <c r="W20" s="199"/>
      <c r="X20" s="199"/>
      <c r="Y20" s="199"/>
      <c r="Z20" s="199"/>
      <c r="AA20" s="265"/>
      <c r="AB20" s="265"/>
      <c r="AC20" s="265"/>
      <c r="AD20" s="265"/>
      <c r="AE20" s="265"/>
      <c r="AF20" s="265"/>
      <c r="AG20" s="265"/>
    </row>
    <row r="21" ht="15.75" customHeight="1">
      <c r="A21" s="307"/>
      <c r="B21" s="238"/>
      <c r="C21" s="16"/>
      <c r="D21" s="17"/>
      <c r="E21" s="272"/>
      <c r="F21" s="272"/>
      <c r="G21" s="223"/>
      <c r="H21" s="272"/>
      <c r="I21" s="272"/>
      <c r="J21" s="272"/>
      <c r="K21" s="272"/>
      <c r="L21" s="272"/>
      <c r="M21" s="272"/>
      <c r="N21" s="264"/>
      <c r="O21" s="264"/>
      <c r="P21" s="264"/>
      <c r="Q21" s="264"/>
      <c r="R21" s="264"/>
      <c r="S21" s="264"/>
      <c r="T21" s="264"/>
      <c r="U21" s="264"/>
      <c r="V21" s="264"/>
      <c r="W21" s="199"/>
      <c r="X21" s="199"/>
      <c r="Y21" s="199"/>
      <c r="Z21" s="199"/>
      <c r="AA21" s="265"/>
      <c r="AB21" s="265"/>
      <c r="AC21" s="265"/>
      <c r="AD21" s="265"/>
      <c r="AE21" s="265"/>
      <c r="AF21" s="265"/>
      <c r="AG21" s="265"/>
    </row>
    <row r="22" ht="15.75" customHeight="1">
      <c r="A22" s="307"/>
      <c r="B22" s="227" t="s">
        <v>241</v>
      </c>
      <c r="C22" s="228"/>
      <c r="D22" s="229"/>
      <c r="E22" s="272"/>
      <c r="F22" s="272"/>
      <c r="G22" s="223"/>
      <c r="H22" s="272"/>
      <c r="I22" s="272"/>
      <c r="J22" s="272"/>
      <c r="K22" s="272"/>
      <c r="L22" s="272"/>
      <c r="M22" s="272"/>
      <c r="N22" s="264"/>
      <c r="O22" s="264"/>
      <c r="P22" s="264"/>
      <c r="Q22" s="264"/>
      <c r="R22" s="264"/>
      <c r="S22" s="264"/>
      <c r="T22" s="264"/>
      <c r="U22" s="264"/>
      <c r="V22" s="264"/>
      <c r="W22" s="199"/>
      <c r="X22" s="199"/>
      <c r="Y22" s="199"/>
      <c r="Z22" s="199"/>
      <c r="AA22" s="265"/>
      <c r="AB22" s="265"/>
      <c r="AC22" s="265"/>
      <c r="AD22" s="265"/>
      <c r="AE22" s="265"/>
      <c r="AF22" s="265"/>
      <c r="AG22" s="265"/>
    </row>
    <row r="23" ht="21.75" customHeight="1">
      <c r="A23" s="308"/>
      <c r="B23" s="288"/>
      <c r="C23" s="309"/>
      <c r="D23" s="243" t="s">
        <v>291</v>
      </c>
      <c r="E23" s="223" t="s">
        <v>222</v>
      </c>
      <c r="F23" s="209" t="s">
        <v>222</v>
      </c>
      <c r="G23" s="223"/>
      <c r="H23" s="224"/>
      <c r="I23" s="223"/>
      <c r="J23" s="224"/>
      <c r="K23" s="223"/>
      <c r="L23" s="224"/>
      <c r="M23" s="224"/>
      <c r="N23" s="214"/>
      <c r="O23" s="214"/>
      <c r="P23" s="214"/>
      <c r="Q23" s="214"/>
      <c r="R23" s="214"/>
      <c r="S23" s="214"/>
      <c r="T23" s="264"/>
      <c r="U23" s="264"/>
      <c r="V23" s="264"/>
      <c r="W23" s="199"/>
      <c r="X23" s="199"/>
      <c r="Y23" s="199"/>
      <c r="Z23" s="199"/>
      <c r="AA23" s="265"/>
      <c r="AB23" s="265"/>
      <c r="AC23" s="265"/>
      <c r="AD23" s="265"/>
      <c r="AE23" s="265"/>
      <c r="AF23" s="265"/>
      <c r="AG23" s="265"/>
    </row>
    <row r="24" ht="21.75" customHeight="1">
      <c r="A24" s="310"/>
      <c r="B24" s="288"/>
      <c r="C24" s="309"/>
      <c r="D24" s="290" t="s">
        <v>292</v>
      </c>
      <c r="E24" s="264"/>
      <c r="F24" s="209"/>
      <c r="G24" s="209" t="s">
        <v>222</v>
      </c>
      <c r="H24" s="209" t="s">
        <v>222</v>
      </c>
      <c r="I24" s="264"/>
      <c r="J24" s="214"/>
      <c r="K24" s="264"/>
      <c r="L24" s="214"/>
      <c r="M24" s="214"/>
      <c r="N24" s="214"/>
      <c r="O24" s="214"/>
      <c r="P24" s="214"/>
      <c r="Q24" s="214"/>
      <c r="R24" s="214"/>
      <c r="S24" s="214"/>
      <c r="T24" s="264"/>
      <c r="U24" s="264"/>
      <c r="V24" s="264"/>
      <c r="W24" s="199"/>
      <c r="X24" s="199"/>
      <c r="Y24" s="199"/>
      <c r="Z24" s="199"/>
      <c r="AA24" s="265"/>
      <c r="AB24" s="265"/>
      <c r="AC24" s="265"/>
      <c r="AD24" s="265"/>
      <c r="AE24" s="265"/>
      <c r="AF24" s="265"/>
      <c r="AG24" s="265"/>
    </row>
    <row r="25" ht="15.75" customHeight="1">
      <c r="A25" s="226" t="s">
        <v>249</v>
      </c>
      <c r="B25" s="245" t="s">
        <v>250</v>
      </c>
      <c r="C25" s="246"/>
      <c r="D25" s="247"/>
      <c r="E25" s="248" t="s">
        <v>167</v>
      </c>
      <c r="F25" s="248" t="s">
        <v>168</v>
      </c>
      <c r="G25" s="248" t="s">
        <v>62</v>
      </c>
      <c r="H25" s="248" t="s">
        <v>62</v>
      </c>
      <c r="I25" s="248" t="s">
        <v>62</v>
      </c>
      <c r="J25" s="248" t="s">
        <v>168</v>
      </c>
      <c r="K25" s="248" t="s">
        <v>167</v>
      </c>
      <c r="L25" s="248" t="s">
        <v>62</v>
      </c>
      <c r="M25" s="248" t="s">
        <v>62</v>
      </c>
      <c r="N25" s="248" t="s">
        <v>62</v>
      </c>
      <c r="O25" s="248" t="s">
        <v>62</v>
      </c>
      <c r="P25" s="248" t="s">
        <v>62</v>
      </c>
      <c r="Q25" s="248" t="s">
        <v>62</v>
      </c>
      <c r="R25" s="248" t="s">
        <v>62</v>
      </c>
      <c r="S25" s="248" t="s">
        <v>62</v>
      </c>
      <c r="T25" s="248" t="s">
        <v>62</v>
      </c>
      <c r="U25" s="248" t="s">
        <v>168</v>
      </c>
      <c r="V25" s="248" t="s">
        <v>62</v>
      </c>
      <c r="W25" s="198"/>
      <c r="X25" s="198"/>
      <c r="Y25" s="198"/>
      <c r="Z25" s="198"/>
      <c r="AA25" s="203"/>
      <c r="AB25" s="203"/>
      <c r="AC25" s="203"/>
      <c r="AD25" s="203"/>
      <c r="AE25" s="203"/>
      <c r="AF25" s="203"/>
      <c r="AG25" s="203"/>
    </row>
    <row r="26" ht="15.75" customHeight="1">
      <c r="A26" s="241"/>
      <c r="B26" s="249" t="s">
        <v>251</v>
      </c>
      <c r="C26" s="16"/>
      <c r="D26" s="17"/>
      <c r="E26" s="250" t="s">
        <v>252</v>
      </c>
      <c r="F26" s="250" t="s">
        <v>252</v>
      </c>
      <c r="G26" s="250" t="s">
        <v>252</v>
      </c>
      <c r="H26" s="250" t="s">
        <v>252</v>
      </c>
      <c r="I26" s="250" t="s">
        <v>252</v>
      </c>
      <c r="J26" s="250" t="s">
        <v>252</v>
      </c>
      <c r="K26" s="250" t="s">
        <v>252</v>
      </c>
      <c r="L26" s="250" t="s">
        <v>252</v>
      </c>
      <c r="M26" s="250" t="s">
        <v>252</v>
      </c>
      <c r="N26" s="250" t="s">
        <v>252</v>
      </c>
      <c r="O26" s="250" t="s">
        <v>252</v>
      </c>
      <c r="P26" s="250" t="s">
        <v>252</v>
      </c>
      <c r="Q26" s="250" t="s">
        <v>252</v>
      </c>
      <c r="R26" s="250" t="s">
        <v>252</v>
      </c>
      <c r="S26" s="250" t="s">
        <v>252</v>
      </c>
      <c r="T26" s="250" t="s">
        <v>252</v>
      </c>
      <c r="U26" s="250" t="s">
        <v>252</v>
      </c>
      <c r="V26" s="250" t="s">
        <v>252</v>
      </c>
      <c r="W26" s="198"/>
      <c r="X26" s="198"/>
      <c r="Y26" s="198"/>
      <c r="Z26" s="198"/>
      <c r="AA26" s="203"/>
      <c r="AB26" s="203"/>
      <c r="AC26" s="203"/>
      <c r="AD26" s="203"/>
      <c r="AE26" s="203"/>
      <c r="AF26" s="203"/>
      <c r="AG26" s="203"/>
    </row>
    <row r="27" ht="15.75" customHeight="1">
      <c r="A27" s="241"/>
      <c r="B27" s="251" t="s">
        <v>253</v>
      </c>
      <c r="C27" s="16"/>
      <c r="D27" s="17"/>
      <c r="E27" s="252">
        <v>45931.0</v>
      </c>
      <c r="F27" s="252">
        <v>45931.0</v>
      </c>
      <c r="G27" s="252">
        <v>45931.0</v>
      </c>
      <c r="H27" s="252">
        <v>45931.0</v>
      </c>
      <c r="I27" s="252">
        <v>45931.0</v>
      </c>
      <c r="J27" s="252">
        <v>45931.0</v>
      </c>
      <c r="K27" s="252">
        <v>45931.0</v>
      </c>
      <c r="L27" s="252">
        <v>45931.0</v>
      </c>
      <c r="M27" s="252">
        <v>45931.0</v>
      </c>
      <c r="N27" s="252">
        <v>45931.0</v>
      </c>
      <c r="O27" s="252">
        <v>45931.0</v>
      </c>
      <c r="P27" s="252">
        <v>45931.0</v>
      </c>
      <c r="Q27" s="252">
        <v>45931.0</v>
      </c>
      <c r="R27" s="252">
        <v>45931.0</v>
      </c>
      <c r="S27" s="252">
        <v>45931.0</v>
      </c>
      <c r="T27" s="252">
        <v>45931.0</v>
      </c>
      <c r="U27" s="252">
        <v>45931.0</v>
      </c>
      <c r="V27" s="252">
        <v>45931.0</v>
      </c>
      <c r="W27" s="198"/>
      <c r="X27" s="198"/>
      <c r="Y27" s="198"/>
      <c r="Z27" s="198"/>
      <c r="AA27" s="203"/>
      <c r="AB27" s="203"/>
      <c r="AC27" s="203"/>
      <c r="AD27" s="203"/>
      <c r="AE27" s="203"/>
      <c r="AF27" s="203"/>
      <c r="AG27" s="203"/>
    </row>
    <row r="28" ht="74.25" customHeight="1">
      <c r="A28" s="253"/>
      <c r="B28" s="254" t="s">
        <v>254</v>
      </c>
      <c r="C28" s="255"/>
      <c r="D28" s="256"/>
      <c r="E28" s="257"/>
      <c r="F28" s="258"/>
      <c r="G28" s="259"/>
      <c r="H28" s="257"/>
      <c r="I28" s="257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198"/>
      <c r="X28" s="198"/>
      <c r="Y28" s="198"/>
      <c r="Z28" s="198"/>
      <c r="AA28" s="203"/>
      <c r="AB28" s="203"/>
      <c r="AC28" s="203"/>
      <c r="AD28" s="203"/>
      <c r="AE28" s="203"/>
      <c r="AF28" s="203"/>
      <c r="AG28" s="203"/>
    </row>
    <row r="29" ht="15.75" customHeight="1">
      <c r="A29" s="198"/>
      <c r="B29" s="198"/>
      <c r="C29" s="198"/>
      <c r="D29" s="198"/>
      <c r="E29" s="198"/>
      <c r="F29" s="198"/>
      <c r="G29" s="199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98"/>
    </row>
    <row r="30" ht="15.75" customHeight="1">
      <c r="A30" s="198"/>
      <c r="B30" s="198"/>
      <c r="C30" s="198"/>
      <c r="D30" s="198"/>
      <c r="E30" s="198"/>
      <c r="F30" s="198"/>
      <c r="G30" s="199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</row>
    <row r="31" ht="15.75" customHeight="1">
      <c r="A31" s="198"/>
      <c r="B31" s="198"/>
      <c r="C31" s="198"/>
      <c r="D31" s="198"/>
      <c r="E31" s="198"/>
      <c r="F31" s="198"/>
      <c r="G31" s="199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  <c r="AB31" s="198"/>
      <c r="AC31" s="198"/>
      <c r="AD31" s="198"/>
      <c r="AE31" s="198"/>
      <c r="AF31" s="198"/>
      <c r="AG31" s="198"/>
      <c r="AH31" s="198"/>
      <c r="AI31" s="198"/>
    </row>
    <row r="32" ht="15.75" customHeight="1">
      <c r="A32" s="198"/>
      <c r="B32" s="198"/>
      <c r="C32" s="198"/>
      <c r="D32" s="198"/>
      <c r="E32" s="198"/>
      <c r="F32" s="198"/>
      <c r="G32" s="199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</row>
    <row r="33" ht="15.75" customHeight="1">
      <c r="A33" s="198"/>
      <c r="B33" s="198"/>
      <c r="C33" s="198"/>
      <c r="D33" s="198"/>
      <c r="E33" s="198"/>
      <c r="F33" s="198"/>
      <c r="G33" s="199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</row>
    <row r="34" ht="15.75" customHeight="1">
      <c r="A34" s="198"/>
      <c r="B34" s="198"/>
      <c r="C34" s="198"/>
      <c r="D34" s="198"/>
      <c r="E34" s="198"/>
      <c r="F34" s="198"/>
      <c r="G34" s="199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</row>
    <row r="35" ht="15.75" customHeight="1">
      <c r="A35" s="198"/>
      <c r="B35" s="198"/>
      <c r="C35" s="198"/>
      <c r="D35" s="198"/>
      <c r="E35" s="198"/>
      <c r="F35" s="198"/>
      <c r="G35" s="199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</row>
    <row r="36" ht="15.75" customHeight="1">
      <c r="A36" s="198"/>
      <c r="B36" s="198"/>
      <c r="C36" s="198"/>
      <c r="D36" s="198"/>
      <c r="E36" s="198"/>
      <c r="F36" s="198"/>
      <c r="G36" s="199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</row>
    <row r="37" ht="15.75" customHeight="1">
      <c r="A37" s="198"/>
      <c r="B37" s="198"/>
      <c r="C37" s="198"/>
      <c r="D37" s="198"/>
      <c r="E37" s="198"/>
      <c r="F37" s="198"/>
      <c r="G37" s="199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</row>
    <row r="38" ht="15.75" customHeight="1">
      <c r="A38" s="198"/>
      <c r="B38" s="198"/>
      <c r="C38" s="198"/>
      <c r="D38" s="198"/>
      <c r="E38" s="198"/>
      <c r="F38" s="198"/>
      <c r="G38" s="199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</row>
    <row r="39" ht="15.75" customHeight="1">
      <c r="A39" s="198"/>
      <c r="B39" s="198"/>
      <c r="C39" s="198"/>
      <c r="D39" s="198"/>
      <c r="E39" s="198"/>
      <c r="F39" s="198"/>
      <c r="G39" s="199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</row>
    <row r="40" ht="15.75" customHeight="1">
      <c r="A40" s="198"/>
      <c r="B40" s="198"/>
      <c r="C40" s="198"/>
      <c r="D40" s="198"/>
      <c r="E40" s="198"/>
      <c r="F40" s="198"/>
      <c r="G40" s="199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  <c r="AB40" s="198"/>
      <c r="AC40" s="198"/>
      <c r="AD40" s="198"/>
      <c r="AE40" s="198"/>
      <c r="AF40" s="198"/>
      <c r="AG40" s="198"/>
      <c r="AH40" s="198"/>
      <c r="AI40" s="198"/>
    </row>
    <row r="41" ht="15.75" customHeight="1">
      <c r="A41" s="198"/>
      <c r="B41" s="198"/>
      <c r="C41" s="198"/>
      <c r="D41" s="198"/>
      <c r="E41" s="198"/>
      <c r="F41" s="198"/>
      <c r="G41" s="199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  <c r="AC41" s="198"/>
      <c r="AD41" s="198"/>
      <c r="AE41" s="198"/>
      <c r="AF41" s="198"/>
      <c r="AG41" s="198"/>
      <c r="AH41" s="198"/>
      <c r="AI41" s="198"/>
    </row>
    <row r="42" ht="15.75" customHeight="1">
      <c r="A42" s="198"/>
      <c r="B42" s="198"/>
      <c r="C42" s="198"/>
      <c r="D42" s="198"/>
      <c r="E42" s="198"/>
      <c r="F42" s="198"/>
      <c r="G42" s="199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  <c r="AC42" s="198"/>
      <c r="AD42" s="198"/>
      <c r="AE42" s="198"/>
      <c r="AF42" s="198"/>
      <c r="AG42" s="198"/>
      <c r="AH42" s="198"/>
      <c r="AI42" s="198"/>
    </row>
    <row r="43" ht="15.75" customHeight="1">
      <c r="A43" s="198"/>
      <c r="B43" s="198"/>
      <c r="C43" s="198"/>
      <c r="D43" s="198"/>
      <c r="E43" s="198"/>
      <c r="F43" s="198"/>
      <c r="G43" s="199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  <c r="AC43" s="198"/>
      <c r="AD43" s="198"/>
      <c r="AE43" s="198"/>
      <c r="AF43" s="198"/>
      <c r="AG43" s="198"/>
      <c r="AH43" s="198"/>
      <c r="AI43" s="198"/>
    </row>
    <row r="44" ht="15.75" customHeight="1">
      <c r="A44" s="198"/>
      <c r="B44" s="198"/>
      <c r="C44" s="198"/>
      <c r="D44" s="198"/>
      <c r="E44" s="198"/>
      <c r="F44" s="198"/>
      <c r="G44" s="199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  <c r="AC44" s="198"/>
      <c r="AD44" s="198"/>
      <c r="AE44" s="198"/>
      <c r="AF44" s="198"/>
      <c r="AG44" s="198"/>
      <c r="AH44" s="198"/>
      <c r="AI44" s="198"/>
    </row>
    <row r="45" ht="15.75" customHeight="1">
      <c r="A45" s="198"/>
      <c r="B45" s="198"/>
      <c r="C45" s="198"/>
      <c r="D45" s="198"/>
      <c r="E45" s="198"/>
      <c r="F45" s="198"/>
      <c r="G45" s="199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  <c r="AC45" s="198"/>
      <c r="AD45" s="198"/>
      <c r="AE45" s="198"/>
      <c r="AF45" s="198"/>
      <c r="AG45" s="198"/>
      <c r="AH45" s="198"/>
      <c r="AI45" s="198"/>
    </row>
    <row r="46" ht="15.75" customHeight="1">
      <c r="A46" s="198"/>
      <c r="B46" s="198"/>
      <c r="C46" s="198"/>
      <c r="D46" s="198"/>
      <c r="E46" s="198"/>
      <c r="F46" s="198"/>
      <c r="G46" s="199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  <c r="AI46" s="198"/>
    </row>
    <row r="47" ht="15.75" customHeight="1">
      <c r="A47" s="198"/>
      <c r="B47" s="198"/>
      <c r="C47" s="198"/>
      <c r="D47" s="198"/>
      <c r="E47" s="198"/>
      <c r="F47" s="198"/>
      <c r="G47" s="199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</row>
    <row r="48" ht="15.75" customHeight="1">
      <c r="A48" s="198"/>
      <c r="B48" s="198"/>
      <c r="C48" s="198"/>
      <c r="D48" s="198"/>
      <c r="E48" s="198"/>
      <c r="F48" s="198"/>
      <c r="G48" s="199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8"/>
      <c r="AB48" s="198"/>
      <c r="AC48" s="198"/>
      <c r="AD48" s="198"/>
      <c r="AE48" s="198"/>
      <c r="AF48" s="198"/>
      <c r="AG48" s="198"/>
      <c r="AH48" s="198"/>
      <c r="AI48" s="198"/>
    </row>
    <row r="49" ht="15.75" customHeight="1">
      <c r="A49" s="198"/>
      <c r="B49" s="198"/>
      <c r="C49" s="198"/>
      <c r="D49" s="198"/>
      <c r="E49" s="198"/>
      <c r="F49" s="198"/>
      <c r="G49" s="199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  <c r="AA49" s="198"/>
      <c r="AB49" s="198"/>
      <c r="AC49" s="198"/>
      <c r="AD49" s="198"/>
      <c r="AE49" s="198"/>
      <c r="AF49" s="198"/>
      <c r="AG49" s="198"/>
      <c r="AH49" s="198"/>
      <c r="AI49" s="198"/>
    </row>
    <row r="50" ht="15.75" customHeight="1">
      <c r="A50" s="198"/>
      <c r="B50" s="198"/>
      <c r="C50" s="198"/>
      <c r="D50" s="198"/>
      <c r="E50" s="198"/>
      <c r="F50" s="198"/>
      <c r="G50" s="199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  <c r="AI50" s="198"/>
    </row>
    <row r="51" ht="15.75" customHeight="1">
      <c r="A51" s="198"/>
      <c r="B51" s="198"/>
      <c r="C51" s="198"/>
      <c r="D51" s="198"/>
      <c r="E51" s="198"/>
      <c r="F51" s="198"/>
      <c r="G51" s="199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</row>
    <row r="52" ht="15.75" customHeight="1">
      <c r="A52" s="198"/>
      <c r="B52" s="198"/>
      <c r="C52" s="198"/>
      <c r="D52" s="198"/>
      <c r="E52" s="198"/>
      <c r="F52" s="198"/>
      <c r="G52" s="199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  <c r="AI52" s="198"/>
    </row>
    <row r="53" ht="15.75" customHeight="1">
      <c r="A53" s="198"/>
      <c r="B53" s="198"/>
      <c r="C53" s="198"/>
      <c r="D53" s="198"/>
      <c r="E53" s="198"/>
      <c r="F53" s="198"/>
      <c r="G53" s="199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  <c r="AI53" s="198"/>
    </row>
    <row r="54" ht="15.75" customHeight="1">
      <c r="A54" s="198"/>
      <c r="B54" s="198"/>
      <c r="C54" s="198"/>
      <c r="D54" s="198"/>
      <c r="E54" s="198"/>
      <c r="F54" s="198"/>
      <c r="G54" s="199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</row>
    <row r="55" ht="15.75" customHeight="1">
      <c r="A55" s="198"/>
      <c r="B55" s="198"/>
      <c r="C55" s="198"/>
      <c r="D55" s="198"/>
      <c r="E55" s="198"/>
      <c r="F55" s="198"/>
      <c r="G55" s="199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</row>
    <row r="56" ht="15.75" customHeight="1">
      <c r="A56" s="198"/>
      <c r="B56" s="198"/>
      <c r="C56" s="198"/>
      <c r="D56" s="198"/>
      <c r="E56" s="198"/>
      <c r="F56" s="198"/>
      <c r="G56" s="199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  <c r="AI56" s="198"/>
    </row>
    <row r="57" ht="15.75" customHeight="1">
      <c r="A57" s="198"/>
      <c r="B57" s="198"/>
      <c r="C57" s="198"/>
      <c r="D57" s="198"/>
      <c r="E57" s="198"/>
      <c r="F57" s="198"/>
      <c r="G57" s="199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</row>
    <row r="58" ht="15.75" customHeight="1">
      <c r="A58" s="198"/>
      <c r="B58" s="198"/>
      <c r="C58" s="198"/>
      <c r="D58" s="198"/>
      <c r="E58" s="198"/>
      <c r="F58" s="198"/>
      <c r="G58" s="199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  <c r="AI58" s="198"/>
    </row>
    <row r="59" ht="15.75" customHeight="1">
      <c r="A59" s="198"/>
      <c r="B59" s="198"/>
      <c r="C59" s="198"/>
      <c r="D59" s="198"/>
      <c r="E59" s="198"/>
      <c r="F59" s="198"/>
      <c r="G59" s="199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  <c r="AI59" s="198"/>
    </row>
    <row r="60" ht="15.75" customHeight="1">
      <c r="A60" s="198"/>
      <c r="B60" s="198"/>
      <c r="C60" s="198"/>
      <c r="D60" s="198"/>
      <c r="E60" s="198"/>
      <c r="F60" s="198"/>
      <c r="G60" s="199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</row>
    <row r="61" ht="15.75" customHeight="1">
      <c r="A61" s="198"/>
      <c r="B61" s="198"/>
      <c r="C61" s="198"/>
      <c r="D61" s="198"/>
      <c r="E61" s="198"/>
      <c r="F61" s="198"/>
      <c r="G61" s="199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  <c r="AI61" s="198"/>
    </row>
    <row r="62" ht="15.75" customHeight="1">
      <c r="A62" s="198"/>
      <c r="B62" s="198"/>
      <c r="C62" s="198"/>
      <c r="D62" s="198"/>
      <c r="E62" s="198"/>
      <c r="F62" s="198"/>
      <c r="G62" s="199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  <c r="AI62" s="198"/>
    </row>
    <row r="63" ht="15.75" customHeight="1">
      <c r="A63" s="198"/>
      <c r="B63" s="198"/>
      <c r="C63" s="198"/>
      <c r="D63" s="198"/>
      <c r="E63" s="198"/>
      <c r="F63" s="198"/>
      <c r="G63" s="199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  <c r="AB63" s="198"/>
      <c r="AC63" s="198"/>
      <c r="AD63" s="198"/>
      <c r="AE63" s="198"/>
      <c r="AF63" s="198"/>
      <c r="AG63" s="198"/>
      <c r="AH63" s="198"/>
      <c r="AI63" s="198"/>
    </row>
    <row r="64" ht="15.75" customHeight="1">
      <c r="A64" s="198"/>
      <c r="B64" s="198"/>
      <c r="C64" s="198"/>
      <c r="D64" s="198"/>
      <c r="E64" s="198"/>
      <c r="F64" s="198"/>
      <c r="G64" s="199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8"/>
      <c r="AB64" s="198"/>
      <c r="AC64" s="198"/>
      <c r="AD64" s="198"/>
      <c r="AE64" s="198"/>
      <c r="AF64" s="198"/>
      <c r="AG64" s="198"/>
      <c r="AH64" s="198"/>
      <c r="AI64" s="198"/>
    </row>
    <row r="65" ht="15.75" customHeight="1">
      <c r="A65" s="198"/>
      <c r="B65" s="198"/>
      <c r="C65" s="198"/>
      <c r="D65" s="198"/>
      <c r="E65" s="198"/>
      <c r="F65" s="198"/>
      <c r="G65" s="199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  <c r="AI65" s="198"/>
    </row>
    <row r="66" ht="15.75" customHeight="1">
      <c r="A66" s="198"/>
      <c r="B66" s="198"/>
      <c r="C66" s="198"/>
      <c r="D66" s="198"/>
      <c r="E66" s="198"/>
      <c r="F66" s="198"/>
      <c r="G66" s="199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198"/>
    </row>
    <row r="67" ht="15.75" customHeight="1">
      <c r="A67" s="198"/>
      <c r="B67" s="198"/>
      <c r="C67" s="198"/>
      <c r="D67" s="198"/>
      <c r="E67" s="198"/>
      <c r="F67" s="198"/>
      <c r="G67" s="199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  <c r="AI67" s="198"/>
    </row>
    <row r="68" ht="15.75" customHeight="1">
      <c r="A68" s="198"/>
      <c r="B68" s="198"/>
      <c r="C68" s="198"/>
      <c r="D68" s="198"/>
      <c r="E68" s="198"/>
      <c r="F68" s="198"/>
      <c r="G68" s="199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  <c r="AH68" s="198"/>
      <c r="AI68" s="198"/>
    </row>
    <row r="69" ht="15.75" customHeight="1">
      <c r="A69" s="198"/>
      <c r="B69" s="198"/>
      <c r="C69" s="198"/>
      <c r="D69" s="198"/>
      <c r="E69" s="198"/>
      <c r="F69" s="198"/>
      <c r="G69" s="199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  <c r="AI69" s="198"/>
    </row>
    <row r="70" ht="15.75" customHeight="1">
      <c r="A70" s="198"/>
      <c r="B70" s="198"/>
      <c r="C70" s="198"/>
      <c r="D70" s="198"/>
      <c r="E70" s="198"/>
      <c r="F70" s="198"/>
      <c r="G70" s="199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  <c r="AI70" s="198"/>
    </row>
    <row r="71" ht="15.75" customHeight="1">
      <c r="A71" s="198"/>
      <c r="B71" s="198"/>
      <c r="C71" s="198"/>
      <c r="D71" s="198"/>
      <c r="E71" s="198"/>
      <c r="F71" s="198"/>
      <c r="G71" s="199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</row>
    <row r="72" ht="15.75" customHeight="1">
      <c r="A72" s="198"/>
      <c r="B72" s="198"/>
      <c r="C72" s="198"/>
      <c r="D72" s="198"/>
      <c r="E72" s="198"/>
      <c r="F72" s="198"/>
      <c r="G72" s="199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  <c r="AI72" s="198"/>
    </row>
    <row r="73" ht="15.75" customHeight="1">
      <c r="A73" s="198"/>
      <c r="B73" s="198"/>
      <c r="C73" s="198"/>
      <c r="D73" s="198"/>
      <c r="E73" s="198"/>
      <c r="F73" s="198"/>
      <c r="G73" s="199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  <c r="AI73" s="198"/>
    </row>
    <row r="74" ht="15.75" customHeight="1">
      <c r="A74" s="198"/>
      <c r="B74" s="198"/>
      <c r="C74" s="198"/>
      <c r="D74" s="198"/>
      <c r="E74" s="198"/>
      <c r="F74" s="198"/>
      <c r="G74" s="199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</row>
    <row r="75" ht="15.75" customHeight="1">
      <c r="A75" s="198"/>
      <c r="B75" s="198"/>
      <c r="C75" s="198"/>
      <c r="D75" s="198"/>
      <c r="E75" s="198"/>
      <c r="F75" s="198"/>
      <c r="G75" s="199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</row>
    <row r="76" ht="15.75" customHeight="1">
      <c r="A76" s="198"/>
      <c r="B76" s="198"/>
      <c r="C76" s="198"/>
      <c r="D76" s="198"/>
      <c r="E76" s="198"/>
      <c r="F76" s="198"/>
      <c r="G76" s="199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</row>
    <row r="77" ht="15.75" customHeight="1">
      <c r="A77" s="198"/>
      <c r="B77" s="198"/>
      <c r="C77" s="198"/>
      <c r="D77" s="198"/>
      <c r="E77" s="198"/>
      <c r="F77" s="198"/>
      <c r="G77" s="199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</row>
    <row r="78" ht="15.75" customHeight="1">
      <c r="A78" s="198"/>
      <c r="B78" s="198"/>
      <c r="C78" s="198"/>
      <c r="D78" s="198"/>
      <c r="E78" s="198"/>
      <c r="F78" s="198"/>
      <c r="G78" s="199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198"/>
    </row>
    <row r="79" ht="15.75" customHeight="1">
      <c r="A79" s="198"/>
      <c r="B79" s="198"/>
      <c r="C79" s="198"/>
      <c r="D79" s="198"/>
      <c r="E79" s="198"/>
      <c r="F79" s="198"/>
      <c r="G79" s="199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198"/>
    </row>
    <row r="80" ht="15.75" customHeight="1">
      <c r="A80" s="198"/>
      <c r="B80" s="198"/>
      <c r="C80" s="198"/>
      <c r="D80" s="198"/>
      <c r="E80" s="198"/>
      <c r="F80" s="198"/>
      <c r="G80" s="199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198"/>
    </row>
    <row r="81" ht="15.75" customHeight="1">
      <c r="A81" s="198"/>
      <c r="B81" s="198"/>
      <c r="C81" s="198"/>
      <c r="D81" s="198"/>
      <c r="E81" s="198"/>
      <c r="F81" s="198"/>
      <c r="G81" s="199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</row>
    <row r="82" ht="15.75" customHeight="1">
      <c r="A82" s="198"/>
      <c r="B82" s="198"/>
      <c r="C82" s="198"/>
      <c r="D82" s="198"/>
      <c r="E82" s="198"/>
      <c r="F82" s="198"/>
      <c r="G82" s="199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  <c r="AA82" s="198"/>
      <c r="AB82" s="198"/>
      <c r="AC82" s="198"/>
      <c r="AD82" s="198"/>
      <c r="AE82" s="198"/>
      <c r="AF82" s="198"/>
      <c r="AG82" s="198"/>
      <c r="AH82" s="198"/>
      <c r="AI82" s="198"/>
    </row>
    <row r="83" ht="15.75" customHeight="1">
      <c r="A83" s="198"/>
      <c r="B83" s="198"/>
      <c r="C83" s="198"/>
      <c r="D83" s="198"/>
      <c r="E83" s="198"/>
      <c r="F83" s="198"/>
      <c r="G83" s="199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</row>
    <row r="84" ht="15.75" customHeight="1">
      <c r="A84" s="198"/>
      <c r="B84" s="198"/>
      <c r="C84" s="198"/>
      <c r="D84" s="198"/>
      <c r="E84" s="198"/>
      <c r="F84" s="198"/>
      <c r="G84" s="199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  <c r="AA84" s="198"/>
      <c r="AB84" s="198"/>
      <c r="AC84" s="198"/>
      <c r="AD84" s="198"/>
      <c r="AE84" s="198"/>
      <c r="AF84" s="198"/>
      <c r="AG84" s="198"/>
      <c r="AH84" s="198"/>
      <c r="AI84" s="198"/>
    </row>
    <row r="85" ht="15.75" customHeight="1">
      <c r="A85" s="198"/>
      <c r="B85" s="198"/>
      <c r="C85" s="198"/>
      <c r="D85" s="198"/>
      <c r="E85" s="198"/>
      <c r="F85" s="198"/>
      <c r="G85" s="199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198"/>
      <c r="AH85" s="198"/>
      <c r="AI85" s="198"/>
    </row>
    <row r="86" ht="15.75" customHeight="1">
      <c r="A86" s="198"/>
      <c r="B86" s="198"/>
      <c r="C86" s="198"/>
      <c r="D86" s="198"/>
      <c r="E86" s="198"/>
      <c r="F86" s="198"/>
      <c r="G86" s="199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  <c r="AI86" s="198"/>
    </row>
    <row r="87" ht="15.75" customHeight="1">
      <c r="A87" s="198"/>
      <c r="B87" s="198"/>
      <c r="C87" s="198"/>
      <c r="D87" s="198"/>
      <c r="E87" s="198"/>
      <c r="F87" s="198"/>
      <c r="G87" s="199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198"/>
      <c r="AI87" s="198"/>
    </row>
    <row r="88" ht="15.75" customHeight="1">
      <c r="A88" s="198"/>
      <c r="B88" s="198"/>
      <c r="C88" s="198"/>
      <c r="D88" s="198"/>
      <c r="E88" s="198"/>
      <c r="F88" s="198"/>
      <c r="G88" s="199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198"/>
      <c r="AI88" s="198"/>
    </row>
    <row r="89" ht="15.75" customHeight="1">
      <c r="A89" s="198"/>
      <c r="B89" s="198"/>
      <c r="C89" s="198"/>
      <c r="D89" s="198"/>
      <c r="E89" s="198"/>
      <c r="F89" s="198"/>
      <c r="G89" s="199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</row>
    <row r="90" ht="15.75" customHeight="1">
      <c r="A90" s="198"/>
      <c r="B90" s="198"/>
      <c r="C90" s="198"/>
      <c r="D90" s="198"/>
      <c r="E90" s="198"/>
      <c r="F90" s="198"/>
      <c r="G90" s="199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  <c r="AA90" s="198"/>
      <c r="AB90" s="198"/>
      <c r="AC90" s="198"/>
      <c r="AD90" s="198"/>
      <c r="AE90" s="198"/>
      <c r="AF90" s="198"/>
      <c r="AG90" s="198"/>
      <c r="AH90" s="198"/>
      <c r="AI90" s="198"/>
    </row>
    <row r="91" ht="15.75" customHeight="1">
      <c r="A91" s="198"/>
      <c r="B91" s="198"/>
      <c r="C91" s="198"/>
      <c r="D91" s="198"/>
      <c r="E91" s="198"/>
      <c r="F91" s="198"/>
      <c r="G91" s="199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198"/>
      <c r="AI91" s="198"/>
    </row>
    <row r="92" ht="15.75" customHeight="1">
      <c r="A92" s="198"/>
      <c r="B92" s="198"/>
      <c r="C92" s="198"/>
      <c r="D92" s="198"/>
      <c r="E92" s="198"/>
      <c r="F92" s="198"/>
      <c r="G92" s="199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198"/>
      <c r="AI92" s="198"/>
    </row>
    <row r="93" ht="15.75" customHeight="1">
      <c r="A93" s="198"/>
      <c r="B93" s="198"/>
      <c r="C93" s="198"/>
      <c r="D93" s="198"/>
      <c r="E93" s="198"/>
      <c r="F93" s="198"/>
      <c r="G93" s="199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198"/>
      <c r="AH93" s="198"/>
      <c r="AI93" s="198"/>
    </row>
    <row r="94" ht="15.75" customHeight="1">
      <c r="A94" s="198"/>
      <c r="B94" s="198"/>
      <c r="C94" s="198"/>
      <c r="D94" s="198"/>
      <c r="E94" s="198"/>
      <c r="F94" s="198"/>
      <c r="G94" s="199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  <c r="AA94" s="198"/>
      <c r="AB94" s="198"/>
      <c r="AC94" s="198"/>
      <c r="AD94" s="198"/>
      <c r="AE94" s="198"/>
      <c r="AF94" s="198"/>
      <c r="AG94" s="198"/>
      <c r="AH94" s="198"/>
      <c r="AI94" s="198"/>
    </row>
    <row r="95" ht="15.75" customHeight="1">
      <c r="A95" s="198"/>
      <c r="B95" s="198"/>
      <c r="C95" s="198"/>
      <c r="D95" s="198"/>
      <c r="E95" s="198"/>
      <c r="F95" s="198"/>
      <c r="G95" s="199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</row>
    <row r="96" ht="15.75" customHeight="1">
      <c r="A96" s="198"/>
      <c r="B96" s="198"/>
      <c r="C96" s="198"/>
      <c r="D96" s="198"/>
      <c r="E96" s="198"/>
      <c r="F96" s="198"/>
      <c r="G96" s="199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  <c r="AA96" s="198"/>
      <c r="AB96" s="198"/>
      <c r="AC96" s="198"/>
      <c r="AD96" s="198"/>
      <c r="AE96" s="198"/>
      <c r="AF96" s="198"/>
      <c r="AG96" s="198"/>
      <c r="AH96" s="198"/>
      <c r="AI96" s="198"/>
    </row>
    <row r="97" ht="15.75" customHeight="1">
      <c r="A97" s="198"/>
      <c r="B97" s="198"/>
      <c r="C97" s="198"/>
      <c r="D97" s="198"/>
      <c r="E97" s="198"/>
      <c r="F97" s="198"/>
      <c r="G97" s="199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</row>
    <row r="98" ht="15.75" customHeight="1">
      <c r="A98" s="198"/>
      <c r="B98" s="198"/>
      <c r="C98" s="198"/>
      <c r="D98" s="198"/>
      <c r="E98" s="198"/>
      <c r="F98" s="198"/>
      <c r="G98" s="199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  <c r="AA98" s="198"/>
      <c r="AB98" s="198"/>
      <c r="AC98" s="198"/>
      <c r="AD98" s="198"/>
      <c r="AE98" s="198"/>
      <c r="AF98" s="198"/>
      <c r="AG98" s="198"/>
      <c r="AH98" s="198"/>
      <c r="AI98" s="198"/>
    </row>
    <row r="99" ht="15.75" customHeight="1">
      <c r="A99" s="198"/>
      <c r="B99" s="198"/>
      <c r="C99" s="198"/>
      <c r="D99" s="198"/>
      <c r="E99" s="198"/>
      <c r="F99" s="198"/>
      <c r="G99" s="199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  <c r="AI99" s="198"/>
    </row>
    <row r="100" ht="15.75" customHeight="1">
      <c r="A100" s="198"/>
      <c r="B100" s="198"/>
      <c r="C100" s="198"/>
      <c r="D100" s="198"/>
      <c r="E100" s="198"/>
      <c r="F100" s="198"/>
      <c r="G100" s="199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</row>
    <row r="101" ht="15.75" customHeight="1">
      <c r="A101" s="198"/>
      <c r="B101" s="198"/>
      <c r="C101" s="198"/>
      <c r="D101" s="198"/>
      <c r="E101" s="198"/>
      <c r="F101" s="198"/>
      <c r="G101" s="199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  <c r="AI101" s="198"/>
    </row>
    <row r="102" ht="15.75" customHeight="1">
      <c r="A102" s="198"/>
      <c r="B102" s="198"/>
      <c r="C102" s="198"/>
      <c r="D102" s="198"/>
      <c r="E102" s="198"/>
      <c r="F102" s="198"/>
      <c r="G102" s="199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  <c r="AI102" s="198"/>
    </row>
    <row r="103" ht="15.75" customHeight="1">
      <c r="A103" s="198"/>
      <c r="B103" s="198"/>
      <c r="C103" s="198"/>
      <c r="D103" s="198"/>
      <c r="E103" s="198"/>
      <c r="F103" s="198"/>
      <c r="G103" s="199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</row>
    <row r="104" ht="15.75" customHeight="1">
      <c r="A104" s="198"/>
      <c r="B104" s="198"/>
      <c r="C104" s="198"/>
      <c r="D104" s="198"/>
      <c r="E104" s="198"/>
      <c r="F104" s="198"/>
      <c r="G104" s="199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  <c r="AA104" s="198"/>
      <c r="AB104" s="198"/>
      <c r="AC104" s="198"/>
      <c r="AD104" s="198"/>
      <c r="AE104" s="198"/>
      <c r="AF104" s="198"/>
      <c r="AG104" s="198"/>
      <c r="AH104" s="198"/>
      <c r="AI104" s="198"/>
    </row>
    <row r="105" ht="15.75" customHeight="1">
      <c r="A105" s="198"/>
      <c r="B105" s="198"/>
      <c r="C105" s="198"/>
      <c r="D105" s="198"/>
      <c r="E105" s="198"/>
      <c r="F105" s="198"/>
      <c r="G105" s="199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</row>
    <row r="106" ht="15.75" customHeight="1">
      <c r="A106" s="198"/>
      <c r="B106" s="198"/>
      <c r="C106" s="198"/>
      <c r="D106" s="198"/>
      <c r="E106" s="198"/>
      <c r="F106" s="198"/>
      <c r="G106" s="199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  <c r="AA106" s="198"/>
      <c r="AB106" s="198"/>
      <c r="AC106" s="198"/>
      <c r="AD106" s="198"/>
      <c r="AE106" s="198"/>
      <c r="AF106" s="198"/>
      <c r="AG106" s="198"/>
      <c r="AH106" s="198"/>
      <c r="AI106" s="198"/>
    </row>
    <row r="107" ht="15.75" customHeight="1">
      <c r="A107" s="198"/>
      <c r="B107" s="198"/>
      <c r="C107" s="198"/>
      <c r="D107" s="198"/>
      <c r="E107" s="198"/>
      <c r="F107" s="198"/>
      <c r="G107" s="199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  <c r="AH107" s="198"/>
      <c r="AI107" s="198"/>
    </row>
    <row r="108" ht="15.75" customHeight="1">
      <c r="A108" s="198"/>
      <c r="B108" s="198"/>
      <c r="C108" s="198"/>
      <c r="D108" s="198"/>
      <c r="E108" s="198"/>
      <c r="F108" s="198"/>
      <c r="G108" s="199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  <c r="AA108" s="198"/>
      <c r="AB108" s="198"/>
      <c r="AC108" s="198"/>
      <c r="AD108" s="198"/>
      <c r="AE108" s="198"/>
      <c r="AF108" s="198"/>
      <c r="AG108" s="198"/>
      <c r="AH108" s="198"/>
      <c r="AI108" s="198"/>
    </row>
    <row r="109" ht="15.75" customHeight="1">
      <c r="A109" s="198"/>
      <c r="B109" s="198"/>
      <c r="C109" s="198"/>
      <c r="D109" s="198"/>
      <c r="E109" s="198"/>
      <c r="F109" s="198"/>
      <c r="G109" s="199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198"/>
      <c r="AI109" s="198"/>
    </row>
    <row r="110" ht="15.75" customHeight="1">
      <c r="A110" s="198"/>
      <c r="B110" s="198"/>
      <c r="C110" s="198"/>
      <c r="D110" s="198"/>
      <c r="E110" s="198"/>
      <c r="F110" s="198"/>
      <c r="G110" s="199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198"/>
      <c r="AI110" s="198"/>
    </row>
    <row r="111" ht="15.75" customHeight="1">
      <c r="A111" s="198"/>
      <c r="B111" s="198"/>
      <c r="C111" s="198"/>
      <c r="D111" s="198"/>
      <c r="E111" s="198"/>
      <c r="F111" s="198"/>
      <c r="G111" s="199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</row>
    <row r="112" ht="15.75" customHeight="1">
      <c r="A112" s="198"/>
      <c r="B112" s="198"/>
      <c r="C112" s="198"/>
      <c r="D112" s="198"/>
      <c r="E112" s="198"/>
      <c r="F112" s="198"/>
      <c r="G112" s="199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  <c r="AA112" s="198"/>
      <c r="AB112" s="198"/>
      <c r="AC112" s="198"/>
      <c r="AD112" s="198"/>
      <c r="AE112" s="198"/>
      <c r="AF112" s="198"/>
      <c r="AG112" s="198"/>
      <c r="AH112" s="198"/>
      <c r="AI112" s="198"/>
    </row>
    <row r="113" ht="15.75" customHeight="1">
      <c r="A113" s="198"/>
      <c r="B113" s="198"/>
      <c r="C113" s="198"/>
      <c r="D113" s="198"/>
      <c r="E113" s="198"/>
      <c r="F113" s="198"/>
      <c r="G113" s="199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</row>
    <row r="114" ht="15.75" customHeight="1">
      <c r="A114" s="198"/>
      <c r="B114" s="198"/>
      <c r="C114" s="198"/>
      <c r="D114" s="198"/>
      <c r="E114" s="198"/>
      <c r="F114" s="198"/>
      <c r="G114" s="199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  <c r="AA114" s="198"/>
      <c r="AB114" s="198"/>
      <c r="AC114" s="198"/>
      <c r="AD114" s="198"/>
      <c r="AE114" s="198"/>
      <c r="AF114" s="198"/>
      <c r="AG114" s="198"/>
      <c r="AH114" s="198"/>
      <c r="AI114" s="198"/>
    </row>
    <row r="115" ht="15.75" customHeight="1">
      <c r="A115" s="198"/>
      <c r="B115" s="198"/>
      <c r="C115" s="198"/>
      <c r="D115" s="198"/>
      <c r="E115" s="198"/>
      <c r="F115" s="198"/>
      <c r="G115" s="199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</row>
    <row r="116" ht="15.75" customHeight="1">
      <c r="A116" s="198"/>
      <c r="B116" s="198"/>
      <c r="C116" s="198"/>
      <c r="D116" s="198"/>
      <c r="E116" s="198"/>
      <c r="F116" s="198"/>
      <c r="G116" s="199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  <c r="AA116" s="198"/>
      <c r="AB116" s="198"/>
      <c r="AC116" s="198"/>
      <c r="AD116" s="198"/>
      <c r="AE116" s="198"/>
      <c r="AF116" s="198"/>
      <c r="AG116" s="198"/>
      <c r="AH116" s="198"/>
      <c r="AI116" s="198"/>
    </row>
    <row r="117" ht="15.75" customHeight="1">
      <c r="A117" s="198"/>
      <c r="B117" s="198"/>
      <c r="C117" s="198"/>
      <c r="D117" s="198"/>
      <c r="E117" s="198"/>
      <c r="F117" s="198"/>
      <c r="G117" s="199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</row>
    <row r="118" ht="15.75" customHeight="1">
      <c r="A118" s="198"/>
      <c r="B118" s="198"/>
      <c r="C118" s="198"/>
      <c r="D118" s="198"/>
      <c r="E118" s="198"/>
      <c r="F118" s="198"/>
      <c r="G118" s="199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8"/>
      <c r="AH118" s="198"/>
      <c r="AI118" s="198"/>
    </row>
    <row r="119" ht="15.75" customHeight="1">
      <c r="A119" s="198"/>
      <c r="B119" s="198"/>
      <c r="C119" s="198"/>
      <c r="D119" s="198"/>
      <c r="E119" s="198"/>
      <c r="F119" s="198"/>
      <c r="G119" s="199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</row>
    <row r="120" ht="15.75" customHeight="1">
      <c r="A120" s="198"/>
      <c r="B120" s="198"/>
      <c r="C120" s="198"/>
      <c r="D120" s="198"/>
      <c r="E120" s="198"/>
      <c r="F120" s="198"/>
      <c r="G120" s="199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8"/>
      <c r="AH120" s="198"/>
      <c r="AI120" s="198"/>
    </row>
    <row r="121" ht="15.75" customHeight="1">
      <c r="A121" s="198"/>
      <c r="B121" s="198"/>
      <c r="C121" s="198"/>
      <c r="D121" s="198"/>
      <c r="E121" s="198"/>
      <c r="F121" s="198"/>
      <c r="G121" s="199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</row>
    <row r="122" ht="15.75" customHeight="1">
      <c r="A122" s="198"/>
      <c r="B122" s="198"/>
      <c r="C122" s="198"/>
      <c r="D122" s="198"/>
      <c r="E122" s="198"/>
      <c r="F122" s="198"/>
      <c r="G122" s="199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198"/>
      <c r="AI122" s="198"/>
    </row>
    <row r="123" ht="15.75" customHeight="1">
      <c r="A123" s="198"/>
      <c r="B123" s="198"/>
      <c r="C123" s="198"/>
      <c r="D123" s="198"/>
      <c r="E123" s="198"/>
      <c r="F123" s="198"/>
      <c r="G123" s="199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8"/>
      <c r="AH123" s="198"/>
      <c r="AI123" s="198"/>
    </row>
    <row r="124" ht="15.75" customHeight="1">
      <c r="A124" s="198"/>
      <c r="B124" s="198"/>
      <c r="C124" s="198"/>
      <c r="D124" s="198"/>
      <c r="E124" s="198"/>
      <c r="F124" s="198"/>
      <c r="G124" s="199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8"/>
      <c r="AH124" s="198"/>
      <c r="AI124" s="198"/>
    </row>
    <row r="125" ht="15.75" customHeight="1">
      <c r="A125" s="198"/>
      <c r="B125" s="198"/>
      <c r="C125" s="198"/>
      <c r="D125" s="198"/>
      <c r="E125" s="198"/>
      <c r="F125" s="198"/>
      <c r="G125" s="199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8"/>
      <c r="AH125" s="198"/>
      <c r="AI125" s="198"/>
    </row>
    <row r="126" ht="15.75" customHeight="1">
      <c r="A126" s="198"/>
      <c r="B126" s="198"/>
      <c r="C126" s="198"/>
      <c r="D126" s="198"/>
      <c r="E126" s="198"/>
      <c r="F126" s="198"/>
      <c r="G126" s="199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  <c r="AA126" s="198"/>
      <c r="AB126" s="198"/>
      <c r="AC126" s="198"/>
      <c r="AD126" s="198"/>
      <c r="AE126" s="198"/>
      <c r="AF126" s="198"/>
      <c r="AG126" s="198"/>
      <c r="AH126" s="198"/>
      <c r="AI126" s="198"/>
    </row>
    <row r="127" ht="15.75" customHeight="1">
      <c r="A127" s="198"/>
      <c r="B127" s="198"/>
      <c r="C127" s="198"/>
      <c r="D127" s="198"/>
      <c r="E127" s="198"/>
      <c r="F127" s="198"/>
      <c r="G127" s="199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</row>
    <row r="128" ht="15.75" customHeight="1">
      <c r="A128" s="198"/>
      <c r="B128" s="198"/>
      <c r="C128" s="198"/>
      <c r="D128" s="198"/>
      <c r="E128" s="198"/>
      <c r="F128" s="198"/>
      <c r="G128" s="199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  <c r="AA128" s="198"/>
      <c r="AB128" s="198"/>
      <c r="AC128" s="198"/>
      <c r="AD128" s="198"/>
      <c r="AE128" s="198"/>
      <c r="AF128" s="198"/>
      <c r="AG128" s="198"/>
      <c r="AH128" s="198"/>
      <c r="AI128" s="198"/>
    </row>
    <row r="129" ht="15.75" customHeight="1">
      <c r="A129" s="198"/>
      <c r="B129" s="198"/>
      <c r="C129" s="198"/>
      <c r="D129" s="198"/>
      <c r="E129" s="198"/>
      <c r="F129" s="198"/>
      <c r="G129" s="199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</row>
    <row r="130" ht="15.75" customHeight="1">
      <c r="A130" s="198"/>
      <c r="B130" s="198"/>
      <c r="C130" s="198"/>
      <c r="D130" s="198"/>
      <c r="E130" s="198"/>
      <c r="F130" s="198"/>
      <c r="G130" s="199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198"/>
      <c r="AI130" s="198"/>
    </row>
    <row r="131" ht="15.75" customHeight="1">
      <c r="A131" s="198"/>
      <c r="B131" s="198"/>
      <c r="C131" s="198"/>
      <c r="D131" s="198"/>
      <c r="E131" s="198"/>
      <c r="F131" s="198"/>
      <c r="G131" s="199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198"/>
      <c r="AI131" s="198"/>
    </row>
    <row r="132" ht="15.75" customHeight="1">
      <c r="A132" s="198"/>
      <c r="B132" s="198"/>
      <c r="C132" s="198"/>
      <c r="D132" s="198"/>
      <c r="E132" s="198"/>
      <c r="F132" s="198"/>
      <c r="G132" s="199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</row>
    <row r="133" ht="15.75" customHeight="1">
      <c r="A133" s="198"/>
      <c r="B133" s="198"/>
      <c r="C133" s="198"/>
      <c r="D133" s="198"/>
      <c r="E133" s="198"/>
      <c r="F133" s="198"/>
      <c r="G133" s="199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  <c r="AA133" s="198"/>
      <c r="AB133" s="198"/>
      <c r="AC133" s="198"/>
      <c r="AD133" s="198"/>
      <c r="AE133" s="198"/>
      <c r="AF133" s="198"/>
      <c r="AG133" s="198"/>
      <c r="AH133" s="198"/>
      <c r="AI133" s="198"/>
    </row>
    <row r="134" ht="15.75" customHeight="1">
      <c r="A134" s="198"/>
      <c r="B134" s="198"/>
      <c r="C134" s="198"/>
      <c r="D134" s="198"/>
      <c r="E134" s="198"/>
      <c r="F134" s="198"/>
      <c r="G134" s="199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</row>
    <row r="135" ht="15.75" customHeight="1">
      <c r="A135" s="198"/>
      <c r="B135" s="198"/>
      <c r="C135" s="198"/>
      <c r="D135" s="198"/>
      <c r="E135" s="198"/>
      <c r="F135" s="198"/>
      <c r="G135" s="199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  <c r="AA135" s="198"/>
      <c r="AB135" s="198"/>
      <c r="AC135" s="198"/>
      <c r="AD135" s="198"/>
      <c r="AE135" s="198"/>
      <c r="AF135" s="198"/>
      <c r="AG135" s="198"/>
      <c r="AH135" s="198"/>
      <c r="AI135" s="198"/>
    </row>
    <row r="136" ht="15.75" customHeight="1">
      <c r="A136" s="198"/>
      <c r="B136" s="198"/>
      <c r="C136" s="198"/>
      <c r="D136" s="198"/>
      <c r="E136" s="198"/>
      <c r="F136" s="198"/>
      <c r="G136" s="199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</row>
    <row r="137" ht="15.75" customHeight="1">
      <c r="A137" s="198"/>
      <c r="B137" s="198"/>
      <c r="C137" s="198"/>
      <c r="D137" s="198"/>
      <c r="E137" s="198"/>
      <c r="F137" s="198"/>
      <c r="G137" s="199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  <c r="AA137" s="198"/>
      <c r="AB137" s="198"/>
      <c r="AC137" s="198"/>
      <c r="AD137" s="198"/>
      <c r="AE137" s="198"/>
      <c r="AF137" s="198"/>
      <c r="AG137" s="198"/>
      <c r="AH137" s="198"/>
      <c r="AI137" s="198"/>
    </row>
    <row r="138" ht="15.75" customHeight="1">
      <c r="A138" s="198"/>
      <c r="B138" s="198"/>
      <c r="C138" s="198"/>
      <c r="D138" s="198"/>
      <c r="E138" s="198"/>
      <c r="F138" s="198"/>
      <c r="G138" s="199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</row>
    <row r="139" ht="15.75" customHeight="1">
      <c r="A139" s="198"/>
      <c r="B139" s="198"/>
      <c r="C139" s="198"/>
      <c r="D139" s="198"/>
      <c r="E139" s="198"/>
      <c r="F139" s="198"/>
      <c r="G139" s="199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  <c r="AA139" s="198"/>
      <c r="AB139" s="198"/>
      <c r="AC139" s="198"/>
      <c r="AD139" s="198"/>
      <c r="AE139" s="198"/>
      <c r="AF139" s="198"/>
      <c r="AG139" s="198"/>
      <c r="AH139" s="198"/>
      <c r="AI139" s="198"/>
    </row>
    <row r="140" ht="15.75" customHeight="1">
      <c r="A140" s="198"/>
      <c r="B140" s="198"/>
      <c r="C140" s="198"/>
      <c r="D140" s="198"/>
      <c r="E140" s="198"/>
      <c r="F140" s="198"/>
      <c r="G140" s="199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</row>
    <row r="141" ht="15.75" customHeight="1">
      <c r="A141" s="198"/>
      <c r="B141" s="198"/>
      <c r="C141" s="198"/>
      <c r="D141" s="198"/>
      <c r="E141" s="198"/>
      <c r="F141" s="198"/>
      <c r="G141" s="199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  <c r="AA141" s="198"/>
      <c r="AB141" s="198"/>
      <c r="AC141" s="198"/>
      <c r="AD141" s="198"/>
      <c r="AE141" s="198"/>
      <c r="AF141" s="198"/>
      <c r="AG141" s="198"/>
      <c r="AH141" s="198"/>
      <c r="AI141" s="198"/>
    </row>
    <row r="142" ht="15.75" customHeight="1">
      <c r="A142" s="198"/>
      <c r="B142" s="198"/>
      <c r="C142" s="198"/>
      <c r="D142" s="198"/>
      <c r="E142" s="198"/>
      <c r="F142" s="198"/>
      <c r="G142" s="199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</row>
    <row r="143" ht="15.75" customHeight="1">
      <c r="A143" s="198"/>
      <c r="B143" s="198"/>
      <c r="C143" s="198"/>
      <c r="D143" s="198"/>
      <c r="E143" s="198"/>
      <c r="F143" s="198"/>
      <c r="G143" s="199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  <c r="AA143" s="198"/>
      <c r="AB143" s="198"/>
      <c r="AC143" s="198"/>
      <c r="AD143" s="198"/>
      <c r="AE143" s="198"/>
      <c r="AF143" s="198"/>
      <c r="AG143" s="198"/>
      <c r="AH143" s="198"/>
      <c r="AI143" s="198"/>
    </row>
    <row r="144" ht="15.75" customHeight="1">
      <c r="A144" s="198"/>
      <c r="B144" s="198"/>
      <c r="C144" s="198"/>
      <c r="D144" s="198"/>
      <c r="E144" s="198"/>
      <c r="F144" s="198"/>
      <c r="G144" s="199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198"/>
      <c r="AI144" s="198"/>
    </row>
    <row r="145" ht="15.75" customHeight="1">
      <c r="A145" s="198"/>
      <c r="B145" s="198"/>
      <c r="C145" s="198"/>
      <c r="D145" s="198"/>
      <c r="E145" s="198"/>
      <c r="F145" s="198"/>
      <c r="G145" s="199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198"/>
      <c r="AI145" s="198"/>
    </row>
    <row r="146" ht="15.75" customHeight="1">
      <c r="A146" s="198"/>
      <c r="B146" s="198"/>
      <c r="C146" s="198"/>
      <c r="D146" s="198"/>
      <c r="E146" s="198"/>
      <c r="F146" s="198"/>
      <c r="G146" s="199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</row>
    <row r="147" ht="15.75" customHeight="1">
      <c r="A147" s="198"/>
      <c r="B147" s="198"/>
      <c r="C147" s="198"/>
      <c r="D147" s="198"/>
      <c r="E147" s="198"/>
      <c r="F147" s="198"/>
      <c r="G147" s="199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  <c r="AA147" s="198"/>
      <c r="AB147" s="198"/>
      <c r="AC147" s="198"/>
      <c r="AD147" s="198"/>
      <c r="AE147" s="198"/>
      <c r="AF147" s="198"/>
      <c r="AG147" s="198"/>
      <c r="AH147" s="198"/>
      <c r="AI147" s="198"/>
    </row>
    <row r="148" ht="15.75" customHeight="1">
      <c r="A148" s="198"/>
      <c r="B148" s="198"/>
      <c r="C148" s="198"/>
      <c r="D148" s="198"/>
      <c r="E148" s="198"/>
      <c r="F148" s="198"/>
      <c r="G148" s="199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</row>
    <row r="149" ht="15.75" customHeight="1">
      <c r="A149" s="198"/>
      <c r="B149" s="198"/>
      <c r="C149" s="198"/>
      <c r="D149" s="198"/>
      <c r="E149" s="198"/>
      <c r="F149" s="198"/>
      <c r="G149" s="199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198"/>
      <c r="AH149" s="198"/>
      <c r="AI149" s="198"/>
    </row>
    <row r="150" ht="15.75" customHeight="1">
      <c r="A150" s="198"/>
      <c r="B150" s="198"/>
      <c r="C150" s="198"/>
      <c r="D150" s="198"/>
      <c r="E150" s="198"/>
      <c r="F150" s="198"/>
      <c r="G150" s="199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</row>
    <row r="151" ht="15.75" customHeight="1">
      <c r="A151" s="198"/>
      <c r="B151" s="198"/>
      <c r="C151" s="198"/>
      <c r="D151" s="198"/>
      <c r="E151" s="198"/>
      <c r="F151" s="198"/>
      <c r="G151" s="199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  <c r="AA151" s="198"/>
      <c r="AB151" s="198"/>
      <c r="AC151" s="198"/>
      <c r="AD151" s="198"/>
      <c r="AE151" s="198"/>
      <c r="AF151" s="198"/>
      <c r="AG151" s="198"/>
      <c r="AH151" s="198"/>
      <c r="AI151" s="198"/>
    </row>
    <row r="152" ht="15.75" customHeight="1">
      <c r="A152" s="198"/>
      <c r="B152" s="198"/>
      <c r="C152" s="198"/>
      <c r="D152" s="198"/>
      <c r="E152" s="198"/>
      <c r="F152" s="198"/>
      <c r="G152" s="199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  <c r="AA152" s="198"/>
      <c r="AB152" s="198"/>
      <c r="AC152" s="198"/>
      <c r="AD152" s="198"/>
      <c r="AE152" s="198"/>
      <c r="AF152" s="198"/>
      <c r="AG152" s="198"/>
      <c r="AH152" s="198"/>
      <c r="AI152" s="198"/>
    </row>
    <row r="153" ht="15.75" customHeight="1">
      <c r="A153" s="198"/>
      <c r="B153" s="198"/>
      <c r="C153" s="198"/>
      <c r="D153" s="198"/>
      <c r="E153" s="198"/>
      <c r="F153" s="198"/>
      <c r="G153" s="199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</row>
    <row r="154" ht="15.75" customHeight="1">
      <c r="A154" s="198"/>
      <c r="B154" s="198"/>
      <c r="C154" s="198"/>
      <c r="D154" s="198"/>
      <c r="E154" s="198"/>
      <c r="F154" s="198"/>
      <c r="G154" s="199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198"/>
      <c r="AI154" s="198"/>
    </row>
    <row r="155" ht="15.75" customHeight="1">
      <c r="A155" s="198"/>
      <c r="B155" s="198"/>
      <c r="C155" s="198"/>
      <c r="D155" s="198"/>
      <c r="E155" s="198"/>
      <c r="F155" s="198"/>
      <c r="G155" s="199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</row>
    <row r="156" ht="15.75" customHeight="1">
      <c r="A156" s="198"/>
      <c r="B156" s="198"/>
      <c r="C156" s="198"/>
      <c r="D156" s="198"/>
      <c r="E156" s="198"/>
      <c r="F156" s="198"/>
      <c r="G156" s="199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198"/>
      <c r="AI156" s="198"/>
    </row>
    <row r="157" ht="15.75" customHeight="1">
      <c r="A157" s="198"/>
      <c r="B157" s="198"/>
      <c r="C157" s="198"/>
      <c r="D157" s="198"/>
      <c r="E157" s="198"/>
      <c r="F157" s="198"/>
      <c r="G157" s="199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</row>
    <row r="158" ht="15.75" customHeight="1">
      <c r="A158" s="198"/>
      <c r="B158" s="198"/>
      <c r="C158" s="198"/>
      <c r="D158" s="198"/>
      <c r="E158" s="198"/>
      <c r="F158" s="198"/>
      <c r="G158" s="199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198"/>
      <c r="AI158" s="198"/>
    </row>
    <row r="159" ht="15.75" customHeight="1">
      <c r="A159" s="198"/>
      <c r="B159" s="198"/>
      <c r="C159" s="198"/>
      <c r="D159" s="198"/>
      <c r="E159" s="198"/>
      <c r="F159" s="198"/>
      <c r="G159" s="199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  <c r="AA159" s="198"/>
      <c r="AB159" s="198"/>
      <c r="AC159" s="198"/>
      <c r="AD159" s="198"/>
      <c r="AE159" s="198"/>
      <c r="AF159" s="198"/>
      <c r="AG159" s="198"/>
      <c r="AH159" s="198"/>
      <c r="AI159" s="198"/>
    </row>
    <row r="160" ht="15.75" customHeight="1">
      <c r="A160" s="198"/>
      <c r="B160" s="198"/>
      <c r="C160" s="198"/>
      <c r="D160" s="198"/>
      <c r="E160" s="198"/>
      <c r="F160" s="198"/>
      <c r="G160" s="199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</row>
    <row r="161" ht="15.75" customHeight="1">
      <c r="A161" s="198"/>
      <c r="B161" s="198"/>
      <c r="C161" s="198"/>
      <c r="D161" s="198"/>
      <c r="E161" s="198"/>
      <c r="F161" s="198"/>
      <c r="G161" s="199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  <c r="AA161" s="198"/>
      <c r="AB161" s="198"/>
      <c r="AC161" s="198"/>
      <c r="AD161" s="198"/>
      <c r="AE161" s="198"/>
      <c r="AF161" s="198"/>
      <c r="AG161" s="198"/>
      <c r="AH161" s="198"/>
      <c r="AI161" s="198"/>
    </row>
    <row r="162" ht="15.75" customHeight="1">
      <c r="A162" s="198"/>
      <c r="B162" s="198"/>
      <c r="C162" s="198"/>
      <c r="D162" s="198"/>
      <c r="E162" s="198"/>
      <c r="F162" s="198"/>
      <c r="G162" s="199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</row>
    <row r="163" ht="15.75" customHeight="1">
      <c r="A163" s="198"/>
      <c r="B163" s="198"/>
      <c r="C163" s="198"/>
      <c r="D163" s="198"/>
      <c r="E163" s="198"/>
      <c r="F163" s="198"/>
      <c r="G163" s="199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198"/>
      <c r="AI163" s="198"/>
    </row>
    <row r="164" ht="15.75" customHeight="1">
      <c r="A164" s="198"/>
      <c r="B164" s="198"/>
      <c r="C164" s="198"/>
      <c r="D164" s="198"/>
      <c r="E164" s="198"/>
      <c r="F164" s="198"/>
      <c r="G164" s="199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</row>
    <row r="165" ht="15.75" customHeight="1">
      <c r="A165" s="198"/>
      <c r="B165" s="198"/>
      <c r="C165" s="198"/>
      <c r="D165" s="198"/>
      <c r="E165" s="198"/>
      <c r="F165" s="198"/>
      <c r="G165" s="199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198"/>
      <c r="AI165" s="198"/>
    </row>
    <row r="166" ht="15.75" customHeight="1">
      <c r="A166" s="198"/>
      <c r="B166" s="198"/>
      <c r="C166" s="198"/>
      <c r="D166" s="198"/>
      <c r="E166" s="198"/>
      <c r="F166" s="198"/>
      <c r="G166" s="199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198"/>
      <c r="AI166" s="198"/>
    </row>
    <row r="167" ht="15.75" customHeight="1">
      <c r="A167" s="198"/>
      <c r="B167" s="198"/>
      <c r="C167" s="198"/>
      <c r="D167" s="198"/>
      <c r="E167" s="198"/>
      <c r="F167" s="198"/>
      <c r="G167" s="199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</row>
    <row r="168" ht="15.75" customHeight="1">
      <c r="A168" s="198"/>
      <c r="B168" s="198"/>
      <c r="C168" s="198"/>
      <c r="D168" s="198"/>
      <c r="E168" s="198"/>
      <c r="F168" s="198"/>
      <c r="G168" s="199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198"/>
      <c r="AI168" s="198"/>
    </row>
    <row r="169" ht="15.75" customHeight="1">
      <c r="A169" s="198"/>
      <c r="B169" s="198"/>
      <c r="C169" s="198"/>
      <c r="D169" s="198"/>
      <c r="E169" s="198"/>
      <c r="F169" s="198"/>
      <c r="G169" s="199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198"/>
      <c r="AI169" s="198"/>
    </row>
    <row r="170" ht="15.75" customHeight="1">
      <c r="A170" s="198"/>
      <c r="B170" s="198"/>
      <c r="C170" s="198"/>
      <c r="D170" s="198"/>
      <c r="E170" s="198"/>
      <c r="F170" s="198"/>
      <c r="G170" s="199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</row>
    <row r="171" ht="15.75" customHeight="1">
      <c r="A171" s="198"/>
      <c r="B171" s="198"/>
      <c r="C171" s="198"/>
      <c r="D171" s="198"/>
      <c r="E171" s="198"/>
      <c r="F171" s="198"/>
      <c r="G171" s="199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  <c r="AA171" s="198"/>
      <c r="AB171" s="198"/>
      <c r="AC171" s="198"/>
      <c r="AD171" s="198"/>
      <c r="AE171" s="198"/>
      <c r="AF171" s="198"/>
      <c r="AG171" s="198"/>
      <c r="AH171" s="198"/>
      <c r="AI171" s="198"/>
    </row>
    <row r="172" ht="15.75" customHeight="1">
      <c r="A172" s="198"/>
      <c r="B172" s="198"/>
      <c r="C172" s="198"/>
      <c r="D172" s="198"/>
      <c r="E172" s="198"/>
      <c r="F172" s="198"/>
      <c r="G172" s="199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  <c r="AA172" s="198"/>
      <c r="AB172" s="198"/>
      <c r="AC172" s="198"/>
      <c r="AD172" s="198"/>
      <c r="AE172" s="198"/>
      <c r="AF172" s="198"/>
      <c r="AG172" s="198"/>
      <c r="AH172" s="198"/>
      <c r="AI172" s="198"/>
    </row>
    <row r="173" ht="15.75" customHeight="1">
      <c r="A173" s="198"/>
      <c r="B173" s="198"/>
      <c r="C173" s="198"/>
      <c r="D173" s="198"/>
      <c r="E173" s="198"/>
      <c r="F173" s="198"/>
      <c r="G173" s="199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</row>
    <row r="174" ht="15.75" customHeight="1">
      <c r="A174" s="198"/>
      <c r="B174" s="198"/>
      <c r="C174" s="198"/>
      <c r="D174" s="198"/>
      <c r="E174" s="198"/>
      <c r="F174" s="198"/>
      <c r="G174" s="199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  <c r="AA174" s="198"/>
      <c r="AB174" s="198"/>
      <c r="AC174" s="198"/>
      <c r="AD174" s="198"/>
      <c r="AE174" s="198"/>
      <c r="AF174" s="198"/>
      <c r="AG174" s="198"/>
      <c r="AH174" s="198"/>
      <c r="AI174" s="198"/>
    </row>
    <row r="175" ht="15.75" customHeight="1">
      <c r="A175" s="198"/>
      <c r="B175" s="198"/>
      <c r="C175" s="198"/>
      <c r="D175" s="198"/>
      <c r="E175" s="198"/>
      <c r="F175" s="198"/>
      <c r="G175" s="199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  <c r="AA175" s="198"/>
      <c r="AB175" s="198"/>
      <c r="AC175" s="198"/>
      <c r="AD175" s="198"/>
      <c r="AE175" s="198"/>
      <c r="AF175" s="198"/>
      <c r="AG175" s="198"/>
      <c r="AH175" s="198"/>
      <c r="AI175" s="198"/>
    </row>
    <row r="176" ht="15.75" customHeight="1">
      <c r="A176" s="198"/>
      <c r="B176" s="198"/>
      <c r="C176" s="198"/>
      <c r="D176" s="198"/>
      <c r="E176" s="198"/>
      <c r="F176" s="198"/>
      <c r="G176" s="199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  <c r="AA176" s="198"/>
      <c r="AB176" s="198"/>
      <c r="AC176" s="198"/>
      <c r="AD176" s="198"/>
      <c r="AE176" s="198"/>
      <c r="AF176" s="198"/>
      <c r="AG176" s="198"/>
      <c r="AH176" s="198"/>
      <c r="AI176" s="198"/>
    </row>
    <row r="177" ht="15.75" customHeight="1">
      <c r="A177" s="198"/>
      <c r="B177" s="198"/>
      <c r="C177" s="198"/>
      <c r="D177" s="198"/>
      <c r="E177" s="198"/>
      <c r="F177" s="198"/>
      <c r="G177" s="199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  <c r="AA177" s="198"/>
      <c r="AB177" s="198"/>
      <c r="AC177" s="198"/>
      <c r="AD177" s="198"/>
      <c r="AE177" s="198"/>
      <c r="AF177" s="198"/>
      <c r="AG177" s="198"/>
      <c r="AH177" s="198"/>
      <c r="AI177" s="198"/>
    </row>
    <row r="178" ht="15.75" customHeight="1">
      <c r="A178" s="198"/>
      <c r="B178" s="198"/>
      <c r="C178" s="198"/>
      <c r="D178" s="198"/>
      <c r="E178" s="198"/>
      <c r="F178" s="198"/>
      <c r="G178" s="199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  <c r="AA178" s="198"/>
      <c r="AB178" s="198"/>
      <c r="AC178" s="198"/>
      <c r="AD178" s="198"/>
      <c r="AE178" s="198"/>
      <c r="AF178" s="198"/>
      <c r="AG178" s="198"/>
      <c r="AH178" s="198"/>
      <c r="AI178" s="198"/>
    </row>
    <row r="179" ht="15.75" customHeight="1">
      <c r="A179" s="198"/>
      <c r="B179" s="198"/>
      <c r="C179" s="198"/>
      <c r="D179" s="198"/>
      <c r="E179" s="198"/>
      <c r="F179" s="198"/>
      <c r="G179" s="199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  <c r="AA179" s="198"/>
      <c r="AB179" s="198"/>
      <c r="AC179" s="198"/>
      <c r="AD179" s="198"/>
      <c r="AE179" s="198"/>
      <c r="AF179" s="198"/>
      <c r="AG179" s="198"/>
      <c r="AH179" s="198"/>
      <c r="AI179" s="198"/>
    </row>
    <row r="180" ht="15.75" customHeight="1">
      <c r="A180" s="198"/>
      <c r="B180" s="198"/>
      <c r="C180" s="198"/>
      <c r="D180" s="198"/>
      <c r="E180" s="198"/>
      <c r="F180" s="198"/>
      <c r="G180" s="199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  <c r="AA180" s="198"/>
      <c r="AB180" s="198"/>
      <c r="AC180" s="198"/>
      <c r="AD180" s="198"/>
      <c r="AE180" s="198"/>
      <c r="AF180" s="198"/>
      <c r="AG180" s="198"/>
      <c r="AH180" s="198"/>
      <c r="AI180" s="198"/>
    </row>
    <row r="181" ht="15.75" customHeight="1">
      <c r="A181" s="198"/>
      <c r="B181" s="198"/>
      <c r="C181" s="198"/>
      <c r="D181" s="198"/>
      <c r="E181" s="198"/>
      <c r="F181" s="198"/>
      <c r="G181" s="199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  <c r="AA181" s="198"/>
      <c r="AB181" s="198"/>
      <c r="AC181" s="198"/>
      <c r="AD181" s="198"/>
      <c r="AE181" s="198"/>
      <c r="AF181" s="198"/>
      <c r="AG181" s="198"/>
      <c r="AH181" s="198"/>
      <c r="AI181" s="198"/>
    </row>
    <row r="182" ht="15.75" customHeight="1">
      <c r="A182" s="198"/>
      <c r="B182" s="198"/>
      <c r="C182" s="198"/>
      <c r="D182" s="198"/>
      <c r="E182" s="198"/>
      <c r="F182" s="198"/>
      <c r="G182" s="199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  <c r="AA182" s="198"/>
      <c r="AB182" s="198"/>
      <c r="AC182" s="198"/>
      <c r="AD182" s="198"/>
      <c r="AE182" s="198"/>
      <c r="AF182" s="198"/>
      <c r="AG182" s="198"/>
      <c r="AH182" s="198"/>
      <c r="AI182" s="198"/>
    </row>
    <row r="183" ht="15.75" customHeight="1">
      <c r="A183" s="198"/>
      <c r="B183" s="198"/>
      <c r="C183" s="198"/>
      <c r="D183" s="198"/>
      <c r="E183" s="198"/>
      <c r="F183" s="198"/>
      <c r="G183" s="199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  <c r="AA183" s="198"/>
      <c r="AB183" s="198"/>
      <c r="AC183" s="198"/>
      <c r="AD183" s="198"/>
      <c r="AE183" s="198"/>
      <c r="AF183" s="198"/>
      <c r="AG183" s="198"/>
      <c r="AH183" s="198"/>
      <c r="AI183" s="198"/>
    </row>
    <row r="184" ht="15.75" customHeight="1">
      <c r="A184" s="198"/>
      <c r="B184" s="198"/>
      <c r="C184" s="198"/>
      <c r="D184" s="198"/>
      <c r="E184" s="198"/>
      <c r="F184" s="198"/>
      <c r="G184" s="199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</row>
    <row r="185" ht="15.75" customHeight="1">
      <c r="A185" s="198"/>
      <c r="B185" s="198"/>
      <c r="C185" s="198"/>
      <c r="D185" s="198"/>
      <c r="E185" s="198"/>
      <c r="F185" s="198"/>
      <c r="G185" s="199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  <c r="AA185" s="198"/>
      <c r="AB185" s="198"/>
      <c r="AC185" s="198"/>
      <c r="AD185" s="198"/>
      <c r="AE185" s="198"/>
      <c r="AF185" s="198"/>
      <c r="AG185" s="198"/>
      <c r="AH185" s="198"/>
      <c r="AI185" s="198"/>
    </row>
    <row r="186" ht="15.75" customHeight="1">
      <c r="A186" s="198"/>
      <c r="B186" s="198"/>
      <c r="C186" s="198"/>
      <c r="D186" s="198"/>
      <c r="E186" s="198"/>
      <c r="F186" s="198"/>
      <c r="G186" s="199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  <c r="AA186" s="198"/>
      <c r="AB186" s="198"/>
      <c r="AC186" s="198"/>
      <c r="AD186" s="198"/>
      <c r="AE186" s="198"/>
      <c r="AF186" s="198"/>
      <c r="AG186" s="198"/>
      <c r="AH186" s="198"/>
      <c r="AI186" s="198"/>
    </row>
    <row r="187" ht="15.75" customHeight="1">
      <c r="A187" s="198"/>
      <c r="B187" s="198"/>
      <c r="C187" s="198"/>
      <c r="D187" s="198"/>
      <c r="E187" s="198"/>
      <c r="F187" s="198"/>
      <c r="G187" s="199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  <c r="AA187" s="198"/>
      <c r="AB187" s="198"/>
      <c r="AC187" s="198"/>
      <c r="AD187" s="198"/>
      <c r="AE187" s="198"/>
      <c r="AF187" s="198"/>
      <c r="AG187" s="198"/>
      <c r="AH187" s="198"/>
      <c r="AI187" s="198"/>
    </row>
    <row r="188" ht="15.75" customHeight="1">
      <c r="A188" s="198"/>
      <c r="B188" s="198"/>
      <c r="C188" s="198"/>
      <c r="D188" s="198"/>
      <c r="E188" s="198"/>
      <c r="F188" s="198"/>
      <c r="G188" s="199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</row>
    <row r="189" ht="15.75" customHeight="1">
      <c r="A189" s="198"/>
      <c r="B189" s="198"/>
      <c r="C189" s="198"/>
      <c r="D189" s="198"/>
      <c r="E189" s="198"/>
      <c r="F189" s="198"/>
      <c r="G189" s="199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  <c r="AA189" s="198"/>
      <c r="AB189" s="198"/>
      <c r="AC189" s="198"/>
      <c r="AD189" s="198"/>
      <c r="AE189" s="198"/>
      <c r="AF189" s="198"/>
      <c r="AG189" s="198"/>
      <c r="AH189" s="198"/>
      <c r="AI189" s="198"/>
    </row>
    <row r="190" ht="15.75" customHeight="1">
      <c r="A190" s="198"/>
      <c r="B190" s="198"/>
      <c r="C190" s="198"/>
      <c r="D190" s="198"/>
      <c r="E190" s="198"/>
      <c r="F190" s="198"/>
      <c r="G190" s="199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  <c r="AA190" s="198"/>
      <c r="AB190" s="198"/>
      <c r="AC190" s="198"/>
      <c r="AD190" s="198"/>
      <c r="AE190" s="198"/>
      <c r="AF190" s="198"/>
      <c r="AG190" s="198"/>
      <c r="AH190" s="198"/>
      <c r="AI190" s="198"/>
    </row>
    <row r="191" ht="15.75" customHeight="1">
      <c r="A191" s="198"/>
      <c r="B191" s="198"/>
      <c r="C191" s="198"/>
      <c r="D191" s="198"/>
      <c r="E191" s="198"/>
      <c r="F191" s="198"/>
      <c r="G191" s="199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</row>
    <row r="192" ht="15.75" customHeight="1">
      <c r="A192" s="198"/>
      <c r="B192" s="198"/>
      <c r="C192" s="198"/>
      <c r="D192" s="198"/>
      <c r="E192" s="198"/>
      <c r="F192" s="198"/>
      <c r="G192" s="199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  <c r="AA192" s="198"/>
      <c r="AB192" s="198"/>
      <c r="AC192" s="198"/>
      <c r="AD192" s="198"/>
      <c r="AE192" s="198"/>
      <c r="AF192" s="198"/>
      <c r="AG192" s="198"/>
      <c r="AH192" s="198"/>
      <c r="AI192" s="198"/>
    </row>
    <row r="193" ht="15.75" customHeight="1">
      <c r="A193" s="198"/>
      <c r="B193" s="198"/>
      <c r="C193" s="198"/>
      <c r="D193" s="198"/>
      <c r="E193" s="198"/>
      <c r="F193" s="198"/>
      <c r="G193" s="199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</row>
    <row r="194" ht="15.75" customHeight="1">
      <c r="A194" s="198"/>
      <c r="B194" s="198"/>
      <c r="C194" s="198"/>
      <c r="D194" s="198"/>
      <c r="E194" s="198"/>
      <c r="F194" s="198"/>
      <c r="G194" s="199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198"/>
    </row>
    <row r="195" ht="15.75" customHeight="1">
      <c r="A195" s="198"/>
      <c r="B195" s="198"/>
      <c r="C195" s="198"/>
      <c r="D195" s="198"/>
      <c r="E195" s="198"/>
      <c r="F195" s="198"/>
      <c r="G195" s="199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</row>
    <row r="196" ht="15.75" customHeight="1">
      <c r="A196" s="198"/>
      <c r="B196" s="198"/>
      <c r="C196" s="198"/>
      <c r="D196" s="198"/>
      <c r="E196" s="198"/>
      <c r="F196" s="198"/>
      <c r="G196" s="199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  <c r="AA196" s="198"/>
      <c r="AB196" s="198"/>
      <c r="AC196" s="198"/>
      <c r="AD196" s="198"/>
      <c r="AE196" s="198"/>
      <c r="AF196" s="198"/>
      <c r="AG196" s="198"/>
      <c r="AH196" s="198"/>
      <c r="AI196" s="198"/>
    </row>
    <row r="197" ht="15.75" customHeight="1">
      <c r="A197" s="198"/>
      <c r="B197" s="198"/>
      <c r="C197" s="198"/>
      <c r="D197" s="198"/>
      <c r="E197" s="198"/>
      <c r="F197" s="198"/>
      <c r="G197" s="199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  <c r="AA197" s="198"/>
      <c r="AB197" s="198"/>
      <c r="AC197" s="198"/>
      <c r="AD197" s="198"/>
      <c r="AE197" s="198"/>
      <c r="AF197" s="198"/>
      <c r="AG197" s="198"/>
      <c r="AH197" s="198"/>
      <c r="AI197" s="198"/>
    </row>
    <row r="198" ht="15.75" customHeight="1">
      <c r="A198" s="198"/>
      <c r="B198" s="198"/>
      <c r="C198" s="198"/>
      <c r="D198" s="198"/>
      <c r="E198" s="198"/>
      <c r="F198" s="198"/>
      <c r="G198" s="199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</row>
    <row r="199" ht="15.75" customHeight="1">
      <c r="A199" s="198"/>
      <c r="B199" s="198"/>
      <c r="C199" s="198"/>
      <c r="D199" s="198"/>
      <c r="E199" s="198"/>
      <c r="F199" s="198"/>
      <c r="G199" s="199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198"/>
    </row>
    <row r="200" ht="15.75" customHeight="1">
      <c r="A200" s="198"/>
      <c r="B200" s="198"/>
      <c r="C200" s="198"/>
      <c r="D200" s="198"/>
      <c r="E200" s="198"/>
      <c r="F200" s="198"/>
      <c r="G200" s="199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</row>
    <row r="201" ht="15.75" customHeight="1">
      <c r="A201" s="198"/>
      <c r="B201" s="198"/>
      <c r="C201" s="198"/>
      <c r="D201" s="198"/>
      <c r="E201" s="198"/>
      <c r="F201" s="198"/>
      <c r="G201" s="199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198"/>
    </row>
    <row r="202" ht="15.75" customHeight="1">
      <c r="A202" s="198"/>
      <c r="B202" s="198"/>
      <c r="C202" s="198"/>
      <c r="D202" s="198"/>
      <c r="E202" s="198"/>
      <c r="F202" s="198"/>
      <c r="G202" s="199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</row>
    <row r="203" ht="15.75" customHeight="1">
      <c r="A203" s="198"/>
      <c r="B203" s="198"/>
      <c r="C203" s="198"/>
      <c r="D203" s="198"/>
      <c r="E203" s="198"/>
      <c r="F203" s="198"/>
      <c r="G203" s="199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  <c r="AA203" s="198"/>
      <c r="AB203" s="198"/>
      <c r="AC203" s="198"/>
      <c r="AD203" s="198"/>
      <c r="AE203" s="198"/>
      <c r="AF203" s="198"/>
      <c r="AG203" s="198"/>
      <c r="AH203" s="198"/>
      <c r="AI203" s="198"/>
    </row>
    <row r="204" ht="15.75" customHeight="1">
      <c r="A204" s="198"/>
      <c r="B204" s="198"/>
      <c r="C204" s="198"/>
      <c r="D204" s="198"/>
      <c r="E204" s="198"/>
      <c r="F204" s="198"/>
      <c r="G204" s="199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</row>
    <row r="205" ht="15.75" customHeight="1">
      <c r="A205" s="198"/>
      <c r="B205" s="198"/>
      <c r="C205" s="198"/>
      <c r="D205" s="198"/>
      <c r="E205" s="198"/>
      <c r="F205" s="198"/>
      <c r="G205" s="199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  <c r="AA205" s="198"/>
      <c r="AB205" s="198"/>
      <c r="AC205" s="198"/>
      <c r="AD205" s="198"/>
      <c r="AE205" s="198"/>
      <c r="AF205" s="198"/>
      <c r="AG205" s="198"/>
      <c r="AH205" s="198"/>
      <c r="AI205" s="198"/>
    </row>
    <row r="206" ht="15.75" customHeight="1">
      <c r="A206" s="198"/>
      <c r="B206" s="198"/>
      <c r="C206" s="198"/>
      <c r="D206" s="198"/>
      <c r="E206" s="198"/>
      <c r="F206" s="198"/>
      <c r="G206" s="199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  <c r="AA206" s="198"/>
      <c r="AB206" s="198"/>
      <c r="AC206" s="198"/>
      <c r="AD206" s="198"/>
      <c r="AE206" s="198"/>
      <c r="AF206" s="198"/>
      <c r="AG206" s="198"/>
      <c r="AH206" s="198"/>
      <c r="AI206" s="198"/>
    </row>
    <row r="207" ht="15.75" customHeight="1">
      <c r="A207" s="198"/>
      <c r="B207" s="198"/>
      <c r="C207" s="198"/>
      <c r="D207" s="198"/>
      <c r="E207" s="198"/>
      <c r="F207" s="198"/>
      <c r="G207" s="199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  <c r="AA207" s="198"/>
      <c r="AB207" s="198"/>
      <c r="AC207" s="198"/>
      <c r="AD207" s="198"/>
      <c r="AE207" s="198"/>
      <c r="AF207" s="198"/>
      <c r="AG207" s="198"/>
      <c r="AH207" s="198"/>
      <c r="AI207" s="198"/>
    </row>
    <row r="208" ht="15.75" customHeight="1">
      <c r="A208" s="198"/>
      <c r="B208" s="198"/>
      <c r="C208" s="198"/>
      <c r="D208" s="198"/>
      <c r="E208" s="198"/>
      <c r="F208" s="198"/>
      <c r="G208" s="199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  <c r="AA208" s="198"/>
      <c r="AB208" s="198"/>
      <c r="AC208" s="198"/>
      <c r="AD208" s="198"/>
      <c r="AE208" s="198"/>
      <c r="AF208" s="198"/>
      <c r="AG208" s="198"/>
      <c r="AH208" s="198"/>
      <c r="AI208" s="198"/>
    </row>
    <row r="209" ht="15.75" customHeight="1">
      <c r="A209" s="198"/>
      <c r="B209" s="198"/>
      <c r="C209" s="198"/>
      <c r="D209" s="198"/>
      <c r="E209" s="198"/>
      <c r="F209" s="198"/>
      <c r="G209" s="199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  <c r="AA209" s="198"/>
      <c r="AB209" s="198"/>
      <c r="AC209" s="198"/>
      <c r="AD209" s="198"/>
      <c r="AE209" s="198"/>
      <c r="AF209" s="198"/>
      <c r="AG209" s="198"/>
      <c r="AH209" s="198"/>
      <c r="AI209" s="198"/>
    </row>
    <row r="210" ht="15.75" customHeight="1">
      <c r="A210" s="198"/>
      <c r="B210" s="198"/>
      <c r="C210" s="198"/>
      <c r="D210" s="198"/>
      <c r="E210" s="198"/>
      <c r="F210" s="198"/>
      <c r="G210" s="199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  <c r="AA210" s="198"/>
      <c r="AB210" s="198"/>
      <c r="AC210" s="198"/>
      <c r="AD210" s="198"/>
      <c r="AE210" s="198"/>
      <c r="AF210" s="198"/>
      <c r="AG210" s="198"/>
      <c r="AH210" s="198"/>
      <c r="AI210" s="198"/>
    </row>
    <row r="211" ht="15.75" customHeight="1">
      <c r="A211" s="198"/>
      <c r="B211" s="198"/>
      <c r="C211" s="198"/>
      <c r="D211" s="198"/>
      <c r="E211" s="198"/>
      <c r="F211" s="198"/>
      <c r="G211" s="199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  <c r="AA211" s="198"/>
      <c r="AB211" s="198"/>
      <c r="AC211" s="198"/>
      <c r="AD211" s="198"/>
      <c r="AE211" s="198"/>
      <c r="AF211" s="198"/>
      <c r="AG211" s="198"/>
      <c r="AH211" s="198"/>
      <c r="AI211" s="198"/>
    </row>
    <row r="212" ht="15.75" customHeight="1">
      <c r="A212" s="198"/>
      <c r="B212" s="198"/>
      <c r="C212" s="198"/>
      <c r="D212" s="198"/>
      <c r="E212" s="198"/>
      <c r="F212" s="198"/>
      <c r="G212" s="199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  <c r="AA212" s="198"/>
      <c r="AB212" s="198"/>
      <c r="AC212" s="198"/>
      <c r="AD212" s="198"/>
      <c r="AE212" s="198"/>
      <c r="AF212" s="198"/>
      <c r="AG212" s="198"/>
      <c r="AH212" s="198"/>
      <c r="AI212" s="198"/>
    </row>
    <row r="213" ht="15.75" customHeight="1">
      <c r="A213" s="198"/>
      <c r="B213" s="198"/>
      <c r="C213" s="198"/>
      <c r="D213" s="198"/>
      <c r="E213" s="198"/>
      <c r="F213" s="198"/>
      <c r="G213" s="199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  <c r="AA213" s="198"/>
      <c r="AB213" s="198"/>
      <c r="AC213" s="198"/>
      <c r="AD213" s="198"/>
      <c r="AE213" s="198"/>
      <c r="AF213" s="198"/>
      <c r="AG213" s="198"/>
      <c r="AH213" s="198"/>
      <c r="AI213" s="198"/>
    </row>
    <row r="214" ht="15.75" customHeight="1">
      <c r="A214" s="198"/>
      <c r="B214" s="198"/>
      <c r="C214" s="198"/>
      <c r="D214" s="198"/>
      <c r="E214" s="198"/>
      <c r="F214" s="198"/>
      <c r="G214" s="199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  <c r="AA214" s="198"/>
      <c r="AB214" s="198"/>
      <c r="AC214" s="198"/>
      <c r="AD214" s="198"/>
      <c r="AE214" s="198"/>
      <c r="AF214" s="198"/>
      <c r="AG214" s="198"/>
      <c r="AH214" s="198"/>
      <c r="AI214" s="198"/>
    </row>
    <row r="215" ht="15.75" customHeight="1">
      <c r="A215" s="198"/>
      <c r="B215" s="198"/>
      <c r="C215" s="198"/>
      <c r="D215" s="198"/>
      <c r="E215" s="198"/>
      <c r="F215" s="198"/>
      <c r="G215" s="199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  <c r="AA215" s="198"/>
      <c r="AB215" s="198"/>
      <c r="AC215" s="198"/>
      <c r="AD215" s="198"/>
      <c r="AE215" s="198"/>
      <c r="AF215" s="198"/>
      <c r="AG215" s="198"/>
      <c r="AH215" s="198"/>
      <c r="AI215" s="198"/>
    </row>
    <row r="216" ht="15.75" customHeight="1">
      <c r="A216" s="198"/>
      <c r="B216" s="198"/>
      <c r="C216" s="198"/>
      <c r="D216" s="198"/>
      <c r="E216" s="198"/>
      <c r="F216" s="198"/>
      <c r="G216" s="199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  <c r="AA216" s="198"/>
      <c r="AB216" s="198"/>
      <c r="AC216" s="198"/>
      <c r="AD216" s="198"/>
      <c r="AE216" s="198"/>
      <c r="AF216" s="198"/>
      <c r="AG216" s="198"/>
      <c r="AH216" s="198"/>
      <c r="AI216" s="198"/>
    </row>
    <row r="217" ht="15.75" customHeight="1">
      <c r="A217" s="198"/>
      <c r="B217" s="198"/>
      <c r="C217" s="198"/>
      <c r="D217" s="198"/>
      <c r="E217" s="198"/>
      <c r="F217" s="198"/>
      <c r="G217" s="199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</row>
    <row r="218" ht="15.75" customHeight="1">
      <c r="A218" s="198"/>
      <c r="B218" s="198"/>
      <c r="C218" s="198"/>
      <c r="D218" s="198"/>
      <c r="E218" s="198"/>
      <c r="F218" s="198"/>
      <c r="G218" s="199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  <c r="AA218" s="198"/>
      <c r="AB218" s="198"/>
      <c r="AC218" s="198"/>
      <c r="AD218" s="198"/>
      <c r="AE218" s="198"/>
      <c r="AF218" s="198"/>
      <c r="AG218" s="198"/>
      <c r="AH218" s="198"/>
      <c r="AI218" s="198"/>
    </row>
    <row r="219" ht="15.75" customHeight="1">
      <c r="A219" s="198"/>
      <c r="B219" s="198"/>
      <c r="C219" s="198"/>
      <c r="D219" s="198"/>
      <c r="E219" s="198"/>
      <c r="F219" s="198"/>
      <c r="G219" s="199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  <c r="AA219" s="198"/>
      <c r="AB219" s="198"/>
      <c r="AC219" s="198"/>
      <c r="AD219" s="198"/>
      <c r="AE219" s="198"/>
      <c r="AF219" s="198"/>
      <c r="AG219" s="198"/>
      <c r="AH219" s="198"/>
      <c r="AI219" s="198"/>
    </row>
    <row r="220" ht="15.75" customHeight="1">
      <c r="A220" s="198"/>
      <c r="B220" s="198"/>
      <c r="C220" s="198"/>
      <c r="D220" s="198"/>
      <c r="E220" s="198"/>
      <c r="F220" s="198"/>
      <c r="G220" s="199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  <c r="AA220" s="198"/>
      <c r="AB220" s="198"/>
      <c r="AC220" s="198"/>
      <c r="AD220" s="198"/>
      <c r="AE220" s="198"/>
      <c r="AF220" s="198"/>
      <c r="AG220" s="198"/>
      <c r="AH220" s="198"/>
      <c r="AI220" s="198"/>
    </row>
    <row r="221" ht="15.75" customHeight="1">
      <c r="A221" s="198"/>
      <c r="B221" s="198"/>
      <c r="C221" s="198"/>
      <c r="D221" s="198"/>
      <c r="E221" s="198"/>
      <c r="F221" s="198"/>
      <c r="G221" s="199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  <c r="AA221" s="198"/>
      <c r="AB221" s="198"/>
      <c r="AC221" s="198"/>
      <c r="AD221" s="198"/>
      <c r="AE221" s="198"/>
      <c r="AF221" s="198"/>
      <c r="AG221" s="198"/>
      <c r="AH221" s="198"/>
      <c r="AI221" s="198"/>
    </row>
    <row r="222" ht="15.75" customHeight="1">
      <c r="A222" s="198"/>
      <c r="B222" s="198"/>
      <c r="C222" s="198"/>
      <c r="D222" s="198"/>
      <c r="E222" s="198"/>
      <c r="F222" s="198"/>
      <c r="G222" s="199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  <c r="AA222" s="198"/>
      <c r="AB222" s="198"/>
      <c r="AC222" s="198"/>
      <c r="AD222" s="198"/>
      <c r="AE222" s="198"/>
      <c r="AF222" s="198"/>
      <c r="AG222" s="198"/>
      <c r="AH222" s="198"/>
      <c r="AI222" s="198"/>
    </row>
    <row r="223" ht="15.75" customHeight="1">
      <c r="A223" s="198"/>
      <c r="B223" s="198"/>
      <c r="C223" s="198"/>
      <c r="D223" s="198"/>
      <c r="E223" s="198"/>
      <c r="F223" s="198"/>
      <c r="G223" s="199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</row>
    <row r="224" ht="15.75" customHeight="1">
      <c r="A224" s="198"/>
      <c r="B224" s="198"/>
      <c r="C224" s="198"/>
      <c r="D224" s="198"/>
      <c r="E224" s="198"/>
      <c r="F224" s="198"/>
      <c r="G224" s="199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  <c r="AA224" s="198"/>
      <c r="AB224" s="198"/>
      <c r="AC224" s="198"/>
      <c r="AD224" s="198"/>
      <c r="AE224" s="198"/>
      <c r="AF224" s="198"/>
      <c r="AG224" s="198"/>
      <c r="AH224" s="198"/>
      <c r="AI224" s="198"/>
    </row>
    <row r="225" ht="15.75" customHeight="1">
      <c r="A225" s="198"/>
      <c r="B225" s="198"/>
      <c r="C225" s="198"/>
      <c r="D225" s="198"/>
      <c r="E225" s="198"/>
      <c r="F225" s="198"/>
      <c r="G225" s="199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</row>
    <row r="226" ht="15.75" customHeight="1">
      <c r="A226" s="198"/>
      <c r="B226" s="198"/>
      <c r="C226" s="198"/>
      <c r="D226" s="198"/>
      <c r="E226" s="198"/>
      <c r="F226" s="198"/>
      <c r="G226" s="199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  <c r="AA226" s="198"/>
      <c r="AB226" s="198"/>
      <c r="AC226" s="198"/>
      <c r="AD226" s="198"/>
      <c r="AE226" s="198"/>
      <c r="AF226" s="198"/>
      <c r="AG226" s="198"/>
      <c r="AH226" s="198"/>
      <c r="AI226" s="198"/>
    </row>
    <row r="227" ht="15.75" customHeight="1">
      <c r="A227" s="198"/>
      <c r="B227" s="198"/>
      <c r="C227" s="198"/>
      <c r="D227" s="198"/>
      <c r="E227" s="198"/>
      <c r="F227" s="198"/>
      <c r="G227" s="199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  <c r="AA227" s="198"/>
      <c r="AB227" s="198"/>
      <c r="AC227" s="198"/>
      <c r="AD227" s="198"/>
      <c r="AE227" s="198"/>
      <c r="AF227" s="198"/>
      <c r="AG227" s="198"/>
      <c r="AH227" s="198"/>
      <c r="AI227" s="198"/>
    </row>
    <row r="228" ht="15.75" customHeight="1">
      <c r="A228" s="198"/>
      <c r="B228" s="198"/>
      <c r="C228" s="198"/>
      <c r="D228" s="198"/>
      <c r="E228" s="198"/>
      <c r="F228" s="198"/>
      <c r="G228" s="199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  <c r="AA228" s="198"/>
      <c r="AB228" s="198"/>
      <c r="AC228" s="198"/>
      <c r="AD228" s="198"/>
      <c r="AE228" s="198"/>
      <c r="AF228" s="198"/>
      <c r="AG228" s="198"/>
      <c r="AH228" s="198"/>
      <c r="AI228" s="198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24">
    <mergeCell ref="C3:S3"/>
    <mergeCell ref="M4:S4"/>
    <mergeCell ref="A1:B1"/>
    <mergeCell ref="C1:D1"/>
    <mergeCell ref="E1:J1"/>
    <mergeCell ref="K1:S1"/>
    <mergeCell ref="C2:D2"/>
    <mergeCell ref="E2:J2"/>
    <mergeCell ref="K2:S2"/>
    <mergeCell ref="C5:D5"/>
    <mergeCell ref="E5:I5"/>
    <mergeCell ref="M5:S5"/>
    <mergeCell ref="B21:D21"/>
    <mergeCell ref="B25:D25"/>
    <mergeCell ref="B26:D26"/>
    <mergeCell ref="B27:D27"/>
    <mergeCell ref="B28:D28"/>
    <mergeCell ref="A2:B2"/>
    <mergeCell ref="A3:B3"/>
    <mergeCell ref="A4:B4"/>
    <mergeCell ref="C4:D4"/>
    <mergeCell ref="E4:I4"/>
    <mergeCell ref="J4:L4"/>
    <mergeCell ref="A5:B5"/>
  </mergeCells>
  <dataValidations>
    <dataValidation type="list" allowBlank="1" showInputMessage="1" showErrorMessage="1" prompt=" - " sqref="E26:V26">
      <formula1>"P,F"</formula1>
    </dataValidation>
    <dataValidation type="list" allowBlank="1" showInputMessage="1" showErrorMessage="1" prompt=" - " sqref="E8:V24">
      <formula1>"O"</formula1>
    </dataValidation>
    <dataValidation type="list" allowBlank="1" showInputMessage="1" showErrorMessage="1" prompt=" - " sqref="E25:V25">
      <formula1>"N,A,B"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5"/>
    <col customWidth="1" min="4" max="4" width="22.38"/>
    <col customWidth="1" min="5" max="21" width="4.88"/>
  </cols>
  <sheetData>
    <row r="1">
      <c r="A1" s="159" t="s">
        <v>195</v>
      </c>
      <c r="B1" s="160"/>
      <c r="C1" s="161" t="s">
        <v>196</v>
      </c>
      <c r="D1" s="162"/>
      <c r="E1" s="163" t="s">
        <v>197</v>
      </c>
      <c r="F1" s="160"/>
      <c r="G1" s="160"/>
      <c r="H1" s="160"/>
      <c r="I1" s="160"/>
      <c r="J1" s="160"/>
      <c r="K1" s="160"/>
      <c r="L1" s="160"/>
      <c r="M1" s="160"/>
      <c r="N1" s="164" t="s">
        <v>198</v>
      </c>
      <c r="O1" s="160"/>
      <c r="P1" s="160"/>
      <c r="Q1" s="160"/>
      <c r="R1" s="165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</row>
    <row r="2">
      <c r="A2" s="168" t="s">
        <v>199</v>
      </c>
      <c r="B2" s="169"/>
      <c r="C2" s="170" t="s">
        <v>159</v>
      </c>
      <c r="D2" s="169"/>
      <c r="E2" s="171" t="s">
        <v>200</v>
      </c>
      <c r="F2" s="172"/>
      <c r="G2" s="172"/>
      <c r="H2" s="172"/>
      <c r="I2" s="172"/>
      <c r="J2" s="172"/>
      <c r="K2" s="172"/>
      <c r="L2" s="172"/>
      <c r="M2" s="173"/>
      <c r="N2" s="174" t="s">
        <v>159</v>
      </c>
      <c r="O2" s="172"/>
      <c r="P2" s="172"/>
      <c r="Q2" s="172"/>
      <c r="R2" s="175"/>
      <c r="S2" s="178"/>
      <c r="T2" s="178"/>
      <c r="U2" s="178"/>
      <c r="V2" s="260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</row>
    <row r="3">
      <c r="A3" s="179" t="s">
        <v>201</v>
      </c>
      <c r="B3" s="17"/>
      <c r="C3" s="180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81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</row>
    <row r="4">
      <c r="A4" s="183" t="s">
        <v>164</v>
      </c>
      <c r="B4" s="17"/>
      <c r="C4" s="184" t="s">
        <v>165</v>
      </c>
      <c r="D4" s="17"/>
      <c r="E4" s="184" t="s">
        <v>166</v>
      </c>
      <c r="F4" s="16"/>
      <c r="G4" s="16"/>
      <c r="H4" s="16"/>
      <c r="I4" s="16"/>
      <c r="J4" s="185" t="s">
        <v>202</v>
      </c>
      <c r="K4" s="16"/>
      <c r="L4" s="16"/>
      <c r="M4" s="184" t="s">
        <v>169</v>
      </c>
      <c r="N4" s="16"/>
      <c r="O4" s="16"/>
      <c r="P4" s="16"/>
      <c r="Q4" s="16"/>
      <c r="R4" s="181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</row>
    <row r="5">
      <c r="A5" s="188">
        <f>COUNTIF(E28:HZ28,"P")</f>
        <v>9</v>
      </c>
      <c r="B5" s="189"/>
      <c r="C5" s="190">
        <f>COUNTIF(E28:HZ28,"F")</f>
        <v>0</v>
      </c>
      <c r="D5" s="189"/>
      <c r="E5" s="191">
        <f>SUM(M5,-A5,-C5)</f>
        <v>0</v>
      </c>
      <c r="F5" s="192"/>
      <c r="G5" s="192"/>
      <c r="H5" s="192"/>
      <c r="I5" s="192"/>
      <c r="J5" s="193">
        <f>COUNTIF(A27:HV27,"N")</f>
        <v>1</v>
      </c>
      <c r="K5" s="193">
        <f>COUNTIF(B27:HW27,"A")</f>
        <v>7</v>
      </c>
      <c r="L5" s="193">
        <f>COUNTIF(C27:HX27,"B")</f>
        <v>1</v>
      </c>
      <c r="M5" s="190">
        <f>COUNTA(A7:HN7)</f>
        <v>9</v>
      </c>
      <c r="N5" s="192"/>
      <c r="O5" s="192"/>
      <c r="P5" s="192"/>
      <c r="Q5" s="192"/>
      <c r="R5" s="194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</row>
    <row r="6">
      <c r="A6" s="198"/>
      <c r="B6" s="198"/>
      <c r="C6" s="198"/>
      <c r="D6" s="198"/>
      <c r="E6" s="198"/>
      <c r="F6" s="198"/>
      <c r="G6" s="199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</row>
    <row r="7" ht="48.0" customHeight="1">
      <c r="A7" s="200"/>
      <c r="B7" s="201"/>
      <c r="C7" s="201"/>
      <c r="D7" s="201"/>
      <c r="E7" s="202" t="s">
        <v>203</v>
      </c>
      <c r="F7" s="202" t="s">
        <v>204</v>
      </c>
      <c r="G7" s="202" t="s">
        <v>205</v>
      </c>
      <c r="H7" s="202" t="s">
        <v>206</v>
      </c>
      <c r="I7" s="202" t="s">
        <v>207</v>
      </c>
      <c r="J7" s="202" t="s">
        <v>208</v>
      </c>
      <c r="K7" s="202" t="s">
        <v>209</v>
      </c>
      <c r="L7" s="202" t="s">
        <v>210</v>
      </c>
      <c r="M7" s="311" t="s">
        <v>211</v>
      </c>
      <c r="N7" s="198"/>
      <c r="O7" s="198"/>
      <c r="P7" s="198"/>
      <c r="Q7" s="198"/>
      <c r="R7" s="198"/>
      <c r="S7" s="198"/>
      <c r="T7" s="198"/>
      <c r="U7" s="198"/>
      <c r="V7" s="198"/>
      <c r="W7" s="261"/>
      <c r="X7" s="198"/>
      <c r="Y7" s="198"/>
      <c r="Z7" s="198"/>
      <c r="AA7" s="198"/>
      <c r="AB7" s="203"/>
      <c r="AC7" s="203"/>
      <c r="AD7" s="203"/>
      <c r="AE7" s="203"/>
      <c r="AF7" s="203"/>
      <c r="AG7" s="203"/>
      <c r="AH7" s="203"/>
    </row>
    <row r="8">
      <c r="A8" s="204" t="s">
        <v>219</v>
      </c>
      <c r="B8" s="205" t="s">
        <v>220</v>
      </c>
      <c r="C8" s="262"/>
      <c r="D8" s="263"/>
      <c r="E8" s="264"/>
      <c r="F8" s="264"/>
      <c r="G8" s="209"/>
      <c r="H8" s="264"/>
      <c r="I8" s="264"/>
      <c r="J8" s="264"/>
      <c r="K8" s="264"/>
      <c r="L8" s="264"/>
      <c r="M8" s="264"/>
      <c r="N8" s="198"/>
      <c r="O8" s="198"/>
      <c r="P8" s="198"/>
      <c r="Q8" s="198"/>
      <c r="R8" s="198"/>
      <c r="S8" s="198"/>
      <c r="T8" s="198"/>
      <c r="U8" s="198"/>
      <c r="V8" s="198"/>
      <c r="W8" s="199"/>
      <c r="X8" s="199"/>
      <c r="Y8" s="199"/>
      <c r="Z8" s="199"/>
      <c r="AA8" s="199"/>
      <c r="AB8" s="265"/>
      <c r="AC8" s="265"/>
      <c r="AD8" s="265"/>
      <c r="AE8" s="265"/>
      <c r="AF8" s="265"/>
      <c r="AG8" s="265"/>
      <c r="AH8" s="265"/>
    </row>
    <row r="9">
      <c r="A9" s="266"/>
      <c r="B9" s="267"/>
      <c r="C9" s="268"/>
      <c r="D9" s="213" t="s">
        <v>221</v>
      </c>
      <c r="E9" s="214" t="s">
        <v>222</v>
      </c>
      <c r="F9" s="214" t="s">
        <v>222</v>
      </c>
      <c r="G9" s="214" t="s">
        <v>222</v>
      </c>
      <c r="H9" s="214" t="s">
        <v>222</v>
      </c>
      <c r="I9" s="214"/>
      <c r="J9" s="214"/>
      <c r="K9" s="214"/>
      <c r="L9" s="214"/>
      <c r="M9" s="214"/>
      <c r="N9" s="198"/>
      <c r="O9" s="198"/>
      <c r="P9" s="198"/>
      <c r="Q9" s="198"/>
      <c r="R9" s="198"/>
      <c r="S9" s="198"/>
      <c r="T9" s="198"/>
      <c r="U9" s="198"/>
      <c r="V9" s="198"/>
      <c r="W9" s="269"/>
      <c r="X9" s="199"/>
      <c r="Y9" s="199"/>
      <c r="Z9" s="199"/>
      <c r="AA9" s="199"/>
      <c r="AB9" s="265"/>
      <c r="AC9" s="265"/>
      <c r="AD9" s="265"/>
      <c r="AE9" s="265"/>
      <c r="AF9" s="265"/>
      <c r="AG9" s="265"/>
      <c r="AH9" s="265"/>
    </row>
    <row r="10">
      <c r="A10" s="312"/>
      <c r="B10" s="313" t="s">
        <v>293</v>
      </c>
      <c r="C10" s="314"/>
      <c r="D10" s="213"/>
      <c r="E10" s="315"/>
      <c r="F10" s="315"/>
      <c r="G10" s="315"/>
      <c r="H10" s="315"/>
      <c r="I10" s="315"/>
      <c r="J10" s="315"/>
      <c r="K10" s="315"/>
      <c r="L10" s="315"/>
      <c r="M10" s="315"/>
      <c r="N10" s="198"/>
      <c r="O10" s="198"/>
      <c r="P10" s="198"/>
      <c r="Q10" s="198"/>
      <c r="R10" s="198"/>
      <c r="S10" s="198"/>
      <c r="T10" s="198"/>
      <c r="U10" s="198"/>
      <c r="V10" s="198"/>
      <c r="W10" s="316"/>
      <c r="X10" s="316"/>
      <c r="Y10" s="316"/>
      <c r="Z10" s="316"/>
      <c r="AA10" s="316"/>
      <c r="AB10" s="317"/>
      <c r="AC10" s="317"/>
      <c r="AD10" s="317"/>
      <c r="AE10" s="317"/>
      <c r="AF10" s="317"/>
      <c r="AG10" s="317"/>
      <c r="AH10" s="317"/>
    </row>
    <row r="11">
      <c r="A11" s="210"/>
      <c r="B11" s="211"/>
      <c r="C11" s="217" t="s">
        <v>294</v>
      </c>
      <c r="D11" s="218">
        <v>1.0</v>
      </c>
      <c r="E11" s="209" t="s">
        <v>222</v>
      </c>
      <c r="F11" s="264"/>
      <c r="G11" s="264"/>
      <c r="H11" s="209"/>
      <c r="I11" s="209"/>
      <c r="J11" s="209"/>
      <c r="K11" s="209"/>
      <c r="L11" s="209"/>
      <c r="M11" s="209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203"/>
      <c r="AB11" s="203"/>
      <c r="AC11" s="203"/>
      <c r="AD11" s="203"/>
      <c r="AE11" s="265"/>
      <c r="AF11" s="265"/>
      <c r="AG11" s="265"/>
      <c r="AH11" s="265"/>
    </row>
    <row r="12">
      <c r="A12" s="220"/>
      <c r="B12" s="225"/>
      <c r="C12" s="217" t="s">
        <v>295</v>
      </c>
      <c r="D12" s="218">
        <v>9999.0</v>
      </c>
      <c r="E12" s="264"/>
      <c r="F12" s="209" t="s">
        <v>222</v>
      </c>
      <c r="G12" s="264"/>
      <c r="H12" s="264"/>
      <c r="I12" s="264"/>
      <c r="J12" s="264"/>
      <c r="K12" s="264"/>
      <c r="L12" s="264"/>
      <c r="M12" s="315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203"/>
      <c r="AB12" s="203"/>
      <c r="AC12" s="203"/>
      <c r="AD12" s="203"/>
      <c r="AE12" s="265"/>
      <c r="AF12" s="265"/>
      <c r="AG12" s="265"/>
      <c r="AH12" s="265"/>
    </row>
    <row r="13">
      <c r="A13" s="220"/>
      <c r="B13" s="225"/>
      <c r="C13" s="217" t="s">
        <v>296</v>
      </c>
      <c r="D13" s="218" t="s">
        <v>297</v>
      </c>
      <c r="E13" s="264"/>
      <c r="F13" s="264"/>
      <c r="G13" s="209" t="s">
        <v>222</v>
      </c>
      <c r="H13" s="264"/>
      <c r="I13" s="264"/>
      <c r="J13" s="264"/>
      <c r="K13" s="264"/>
      <c r="L13" s="264"/>
      <c r="M13" s="315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203"/>
      <c r="AB13" s="203"/>
      <c r="AC13" s="203"/>
      <c r="AD13" s="203"/>
      <c r="AE13" s="265"/>
      <c r="AF13" s="265"/>
      <c r="AG13" s="265"/>
      <c r="AH13" s="265"/>
    </row>
    <row r="14">
      <c r="A14" s="318"/>
      <c r="B14" s="319"/>
      <c r="C14" s="217" t="s">
        <v>231</v>
      </c>
      <c r="D14" s="213"/>
      <c r="E14" s="315"/>
      <c r="F14" s="315"/>
      <c r="G14" s="315"/>
      <c r="H14" s="209" t="s">
        <v>222</v>
      </c>
      <c r="I14" s="315"/>
      <c r="J14" s="315"/>
      <c r="K14" s="315"/>
      <c r="L14" s="315"/>
      <c r="M14" s="315"/>
      <c r="N14" s="198"/>
      <c r="O14" s="198"/>
      <c r="P14" s="198"/>
      <c r="Q14" s="198"/>
      <c r="R14" s="198"/>
      <c r="S14" s="198"/>
      <c r="T14" s="198"/>
      <c r="U14" s="198"/>
      <c r="V14" s="198"/>
      <c r="W14" s="316"/>
      <c r="X14" s="316"/>
      <c r="Y14" s="316"/>
      <c r="Z14" s="316"/>
      <c r="AA14" s="316"/>
      <c r="AB14" s="316"/>
      <c r="AC14" s="316"/>
      <c r="AD14" s="316"/>
      <c r="AE14" s="317"/>
      <c r="AF14" s="317"/>
      <c r="AG14" s="317"/>
      <c r="AH14" s="317"/>
    </row>
    <row r="15" ht="15.75" customHeight="1">
      <c r="A15" s="220"/>
      <c r="B15" s="225"/>
      <c r="C15" s="212"/>
      <c r="D15" s="213"/>
      <c r="E15" s="264"/>
      <c r="F15" s="264"/>
      <c r="G15" s="264"/>
      <c r="H15" s="209"/>
      <c r="I15" s="264"/>
      <c r="J15" s="264"/>
      <c r="K15" s="264"/>
      <c r="L15" s="264"/>
      <c r="M15" s="209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203"/>
      <c r="AB15" s="203"/>
      <c r="AC15" s="203"/>
      <c r="AD15" s="203"/>
      <c r="AE15" s="265"/>
      <c r="AF15" s="265"/>
      <c r="AG15" s="265"/>
      <c r="AH15" s="265"/>
    </row>
    <row r="16" ht="15.75" customHeight="1">
      <c r="A16" s="226" t="s">
        <v>238</v>
      </c>
      <c r="B16" s="227" t="s">
        <v>239</v>
      </c>
      <c r="C16" s="228"/>
      <c r="D16" s="229"/>
      <c r="E16" s="264"/>
      <c r="F16" s="264"/>
      <c r="G16" s="264"/>
      <c r="H16" s="264"/>
      <c r="I16" s="264"/>
      <c r="J16" s="264"/>
      <c r="K16" s="264"/>
      <c r="L16" s="264"/>
      <c r="M16" s="264"/>
      <c r="N16" s="198"/>
      <c r="O16" s="198"/>
      <c r="P16" s="198"/>
      <c r="Q16" s="198"/>
      <c r="R16" s="198"/>
      <c r="S16" s="198"/>
      <c r="T16" s="198"/>
      <c r="U16" s="198"/>
      <c r="V16" s="198"/>
      <c r="W16" s="199"/>
      <c r="X16" s="199"/>
      <c r="Y16" s="199"/>
      <c r="Z16" s="199"/>
      <c r="AA16" s="199"/>
      <c r="AB16" s="265"/>
      <c r="AC16" s="265"/>
      <c r="AD16" s="265"/>
      <c r="AE16" s="265"/>
      <c r="AF16" s="265"/>
      <c r="AG16" s="265"/>
      <c r="AH16" s="265"/>
    </row>
    <row r="17" ht="15.75" customHeight="1">
      <c r="A17" s="307"/>
      <c r="B17" s="231"/>
      <c r="C17" s="228"/>
      <c r="D17" s="232" t="b">
        <v>1</v>
      </c>
      <c r="E17" s="214" t="s">
        <v>222</v>
      </c>
      <c r="F17" s="264"/>
      <c r="G17" s="209"/>
      <c r="H17" s="264"/>
      <c r="I17" s="264"/>
      <c r="J17" s="264"/>
      <c r="K17" s="264"/>
      <c r="L17" s="209"/>
      <c r="M17" s="264"/>
      <c r="N17" s="198"/>
      <c r="O17" s="198"/>
      <c r="P17" s="198"/>
      <c r="Q17" s="198"/>
      <c r="R17" s="198"/>
      <c r="S17" s="198"/>
      <c r="T17" s="198"/>
      <c r="U17" s="198"/>
      <c r="V17" s="198"/>
      <c r="W17" s="199"/>
      <c r="X17" s="199"/>
      <c r="Y17" s="199"/>
      <c r="Z17" s="199"/>
      <c r="AA17" s="199"/>
      <c r="AB17" s="265"/>
      <c r="AC17" s="265"/>
      <c r="AD17" s="265"/>
      <c r="AE17" s="265"/>
      <c r="AF17" s="265"/>
      <c r="AG17" s="265"/>
      <c r="AH17" s="265"/>
    </row>
    <row r="18" ht="15.75" customHeight="1">
      <c r="A18" s="307"/>
      <c r="B18" s="234"/>
      <c r="C18" s="235"/>
      <c r="D18" s="232" t="b">
        <v>0</v>
      </c>
      <c r="E18" s="274"/>
      <c r="F18" s="276" t="s">
        <v>222</v>
      </c>
      <c r="G18" s="276" t="s">
        <v>222</v>
      </c>
      <c r="H18" s="276" t="s">
        <v>222</v>
      </c>
      <c r="I18" s="276"/>
      <c r="J18" s="276"/>
      <c r="K18" s="276"/>
      <c r="L18" s="276"/>
      <c r="M18" s="276"/>
      <c r="N18" s="198"/>
      <c r="O18" s="198"/>
      <c r="P18" s="198"/>
      <c r="Q18" s="198"/>
      <c r="R18" s="198"/>
      <c r="S18" s="198"/>
      <c r="T18" s="198"/>
      <c r="U18" s="198"/>
      <c r="V18" s="198"/>
      <c r="W18" s="199"/>
      <c r="X18" s="199"/>
      <c r="Y18" s="199"/>
      <c r="Z18" s="199"/>
      <c r="AA18" s="199"/>
      <c r="AB18" s="265"/>
      <c r="AC18" s="265"/>
      <c r="AD18" s="265"/>
      <c r="AE18" s="265"/>
      <c r="AF18" s="265"/>
      <c r="AG18" s="265"/>
      <c r="AH18" s="265"/>
    </row>
    <row r="19" ht="15.75" customHeight="1">
      <c r="A19" s="307"/>
      <c r="B19" s="236" t="s">
        <v>240</v>
      </c>
      <c r="C19" s="277"/>
      <c r="D19" s="278"/>
      <c r="E19" s="264"/>
      <c r="F19" s="264"/>
      <c r="G19" s="264"/>
      <c r="H19" s="264"/>
      <c r="I19" s="264"/>
      <c r="J19" s="264"/>
      <c r="K19" s="264"/>
      <c r="L19" s="264"/>
      <c r="M19" s="264"/>
      <c r="N19" s="198"/>
      <c r="O19" s="198"/>
      <c r="P19" s="198"/>
      <c r="Q19" s="198"/>
      <c r="R19" s="198"/>
      <c r="S19" s="198"/>
      <c r="T19" s="198"/>
      <c r="U19" s="198"/>
      <c r="V19" s="198"/>
      <c r="W19" s="199"/>
      <c r="X19" s="199"/>
      <c r="Y19" s="199"/>
      <c r="Z19" s="199"/>
      <c r="AA19" s="199"/>
      <c r="AB19" s="265"/>
      <c r="AC19" s="265"/>
      <c r="AD19" s="265"/>
      <c r="AE19" s="265"/>
      <c r="AF19" s="265"/>
      <c r="AG19" s="265"/>
      <c r="AH19" s="265"/>
    </row>
    <row r="20" ht="15.75" customHeight="1">
      <c r="A20" s="307"/>
      <c r="B20" s="237"/>
      <c r="C20" s="280"/>
      <c r="D20" s="281"/>
      <c r="E20" s="264"/>
      <c r="F20" s="264"/>
      <c r="G20" s="264"/>
      <c r="H20" s="264"/>
      <c r="I20" s="264"/>
      <c r="J20" s="264"/>
      <c r="K20" s="264"/>
      <c r="L20" s="264"/>
      <c r="M20" s="264"/>
      <c r="N20" s="198"/>
      <c r="O20" s="198"/>
      <c r="P20" s="198"/>
      <c r="Q20" s="198"/>
      <c r="R20" s="198"/>
      <c r="S20" s="198"/>
      <c r="T20" s="198"/>
      <c r="U20" s="198"/>
      <c r="V20" s="198"/>
      <c r="W20" s="199"/>
      <c r="X20" s="199"/>
      <c r="Y20" s="199"/>
      <c r="Z20" s="199"/>
      <c r="AA20" s="199"/>
      <c r="AB20" s="265"/>
      <c r="AC20" s="265"/>
      <c r="AD20" s="265"/>
      <c r="AE20" s="265"/>
      <c r="AF20" s="265"/>
      <c r="AG20" s="265"/>
      <c r="AH20" s="265"/>
    </row>
    <row r="21" ht="15.75" customHeight="1">
      <c r="A21" s="307"/>
      <c r="B21" s="238"/>
      <c r="C21" s="16"/>
      <c r="D21" s="17"/>
      <c r="E21" s="264"/>
      <c r="F21" s="264"/>
      <c r="G21" s="264"/>
      <c r="H21" s="264"/>
      <c r="I21" s="264"/>
      <c r="J21" s="264"/>
      <c r="K21" s="264"/>
      <c r="L21" s="264"/>
      <c r="M21" s="264"/>
      <c r="N21" s="198"/>
      <c r="O21" s="198"/>
      <c r="P21" s="198"/>
      <c r="Q21" s="198"/>
      <c r="R21" s="198"/>
      <c r="S21" s="198"/>
      <c r="T21" s="198"/>
      <c r="U21" s="198"/>
      <c r="V21" s="198"/>
      <c r="W21" s="199"/>
      <c r="X21" s="199"/>
      <c r="Y21" s="199"/>
      <c r="Z21" s="199"/>
      <c r="AA21" s="199"/>
      <c r="AB21" s="265"/>
      <c r="AC21" s="265"/>
      <c r="AD21" s="265"/>
      <c r="AE21" s="265"/>
      <c r="AF21" s="265"/>
      <c r="AG21" s="265"/>
      <c r="AH21" s="265"/>
    </row>
    <row r="22" ht="15.75" customHeight="1">
      <c r="A22" s="307"/>
      <c r="B22" s="227" t="s">
        <v>241</v>
      </c>
      <c r="C22" s="228"/>
      <c r="D22" s="229"/>
      <c r="E22" s="264"/>
      <c r="F22" s="264"/>
      <c r="G22" s="264"/>
      <c r="H22" s="264"/>
      <c r="I22" s="264"/>
      <c r="J22" s="264"/>
      <c r="K22" s="264"/>
      <c r="L22" s="264"/>
      <c r="M22" s="264"/>
      <c r="N22" s="198"/>
      <c r="O22" s="198"/>
      <c r="P22" s="198"/>
      <c r="Q22" s="198"/>
      <c r="R22" s="198"/>
      <c r="S22" s="198"/>
      <c r="T22" s="198"/>
      <c r="U22" s="198"/>
      <c r="V22" s="198"/>
      <c r="W22" s="199"/>
      <c r="X22" s="199"/>
      <c r="Y22" s="199"/>
      <c r="Z22" s="199"/>
      <c r="AA22" s="199"/>
      <c r="AB22" s="265"/>
      <c r="AC22" s="265"/>
      <c r="AD22" s="265"/>
      <c r="AE22" s="265"/>
      <c r="AF22" s="265"/>
      <c r="AG22" s="265"/>
      <c r="AH22" s="265"/>
    </row>
    <row r="23" ht="21.75" customHeight="1">
      <c r="A23" s="308"/>
      <c r="B23" s="288"/>
      <c r="C23" s="309"/>
      <c r="D23" s="320" t="s">
        <v>298</v>
      </c>
      <c r="E23" s="209" t="s">
        <v>222</v>
      </c>
      <c r="F23" s="264"/>
      <c r="G23" s="264"/>
      <c r="H23" s="264"/>
      <c r="I23" s="264"/>
      <c r="J23" s="264"/>
      <c r="K23" s="264"/>
      <c r="L23" s="264"/>
      <c r="M23" s="264"/>
      <c r="N23" s="198"/>
      <c r="O23" s="198"/>
      <c r="P23" s="198"/>
      <c r="Q23" s="198"/>
      <c r="R23" s="198"/>
      <c r="S23" s="198"/>
      <c r="T23" s="198"/>
      <c r="U23" s="198"/>
      <c r="V23" s="198"/>
      <c r="W23" s="199"/>
      <c r="X23" s="199"/>
      <c r="Y23" s="199"/>
      <c r="Z23" s="199"/>
      <c r="AA23" s="199"/>
      <c r="AB23" s="265"/>
      <c r="AC23" s="265"/>
      <c r="AD23" s="265"/>
      <c r="AE23" s="265"/>
      <c r="AF23" s="265"/>
      <c r="AG23" s="265"/>
      <c r="AH23" s="265"/>
    </row>
    <row r="24" ht="21.75" customHeight="1">
      <c r="A24" s="310"/>
      <c r="B24" s="288"/>
      <c r="C24" s="309"/>
      <c r="D24" s="321" t="s">
        <v>246</v>
      </c>
      <c r="E24" s="264"/>
      <c r="F24" s="209" t="s">
        <v>222</v>
      </c>
      <c r="G24" s="209"/>
      <c r="H24" s="264"/>
      <c r="I24" s="264"/>
      <c r="J24" s="264"/>
      <c r="K24" s="264"/>
      <c r="L24" s="264"/>
      <c r="M24" s="264"/>
      <c r="N24" s="198"/>
      <c r="O24" s="198"/>
      <c r="P24" s="198"/>
      <c r="Q24" s="198"/>
      <c r="R24" s="198"/>
      <c r="S24" s="198"/>
      <c r="T24" s="198"/>
      <c r="U24" s="198"/>
      <c r="V24" s="198"/>
      <c r="W24" s="199"/>
      <c r="X24" s="199"/>
      <c r="Y24" s="199"/>
      <c r="Z24" s="199"/>
      <c r="AA24" s="199"/>
      <c r="AB24" s="265"/>
      <c r="AC24" s="265"/>
      <c r="AD24" s="265"/>
      <c r="AE24" s="265"/>
      <c r="AF24" s="265"/>
      <c r="AG24" s="265"/>
      <c r="AH24" s="265"/>
    </row>
    <row r="25" ht="15.75" customHeight="1">
      <c r="A25" s="310"/>
      <c r="B25" s="283"/>
      <c r="C25" s="309"/>
      <c r="D25" s="322" t="s">
        <v>299</v>
      </c>
      <c r="E25" s="264"/>
      <c r="F25" s="209" t="s">
        <v>222</v>
      </c>
      <c r="G25" s="264"/>
      <c r="H25" s="264"/>
      <c r="I25" s="264"/>
      <c r="J25" s="264"/>
      <c r="K25" s="264"/>
      <c r="L25" s="264"/>
      <c r="M25" s="264"/>
      <c r="N25" s="198"/>
      <c r="O25" s="198"/>
      <c r="P25" s="198"/>
      <c r="Q25" s="198"/>
      <c r="R25" s="198"/>
      <c r="S25" s="198"/>
      <c r="T25" s="198"/>
      <c r="U25" s="198"/>
      <c r="V25" s="198"/>
      <c r="W25" s="199"/>
      <c r="X25" s="199"/>
      <c r="Y25" s="199"/>
      <c r="Z25" s="199"/>
      <c r="AA25" s="199"/>
      <c r="AB25" s="265"/>
      <c r="AC25" s="265"/>
      <c r="AD25" s="265"/>
      <c r="AE25" s="265"/>
      <c r="AF25" s="265"/>
      <c r="AG25" s="265"/>
      <c r="AH25" s="265"/>
    </row>
    <row r="26" ht="21.75" customHeight="1">
      <c r="A26" s="297"/>
      <c r="B26" s="180"/>
      <c r="C26" s="298"/>
      <c r="D26" s="321" t="s">
        <v>300</v>
      </c>
      <c r="E26" s="264"/>
      <c r="F26" s="264"/>
      <c r="G26" s="209" t="s">
        <v>222</v>
      </c>
      <c r="H26" s="209" t="s">
        <v>222</v>
      </c>
      <c r="I26" s="209"/>
      <c r="J26" s="209"/>
      <c r="K26" s="264"/>
      <c r="L26" s="264"/>
      <c r="M26" s="264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203"/>
      <c r="AA26" s="203"/>
      <c r="AB26" s="203"/>
      <c r="AC26" s="203"/>
      <c r="AD26" s="265"/>
      <c r="AE26" s="265"/>
      <c r="AF26" s="265"/>
      <c r="AG26" s="265"/>
      <c r="AH26" s="265"/>
    </row>
    <row r="27" ht="15.75" customHeight="1">
      <c r="A27" s="226" t="s">
        <v>249</v>
      </c>
      <c r="B27" s="245" t="s">
        <v>250</v>
      </c>
      <c r="C27" s="246"/>
      <c r="D27" s="247"/>
      <c r="E27" s="248" t="s">
        <v>167</v>
      </c>
      <c r="F27" s="248" t="s">
        <v>62</v>
      </c>
      <c r="G27" s="248" t="s">
        <v>62</v>
      </c>
      <c r="H27" s="248" t="s">
        <v>62</v>
      </c>
      <c r="I27" s="248" t="s">
        <v>62</v>
      </c>
      <c r="J27" s="248" t="s">
        <v>62</v>
      </c>
      <c r="K27" s="248" t="s">
        <v>168</v>
      </c>
      <c r="L27" s="248" t="s">
        <v>62</v>
      </c>
      <c r="M27" s="248" t="s">
        <v>62</v>
      </c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203"/>
      <c r="AC27" s="203"/>
      <c r="AD27" s="203"/>
      <c r="AE27" s="203"/>
      <c r="AF27" s="203"/>
      <c r="AG27" s="203"/>
      <c r="AH27" s="203"/>
    </row>
    <row r="28" ht="15.75" customHeight="1">
      <c r="A28" s="241"/>
      <c r="B28" s="249" t="s">
        <v>251</v>
      </c>
      <c r="C28" s="16"/>
      <c r="D28" s="17"/>
      <c r="E28" s="250" t="s">
        <v>252</v>
      </c>
      <c r="F28" s="250" t="s">
        <v>252</v>
      </c>
      <c r="G28" s="250" t="s">
        <v>252</v>
      </c>
      <c r="H28" s="250" t="s">
        <v>252</v>
      </c>
      <c r="I28" s="250" t="s">
        <v>252</v>
      </c>
      <c r="J28" s="250" t="s">
        <v>252</v>
      </c>
      <c r="K28" s="250" t="s">
        <v>252</v>
      </c>
      <c r="L28" s="250" t="s">
        <v>252</v>
      </c>
      <c r="M28" s="250" t="s">
        <v>252</v>
      </c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  <c r="AB28" s="203"/>
      <c r="AC28" s="203"/>
      <c r="AD28" s="203"/>
      <c r="AE28" s="203"/>
      <c r="AF28" s="203"/>
      <c r="AG28" s="203"/>
      <c r="AH28" s="203"/>
    </row>
    <row r="29" ht="15.75" customHeight="1">
      <c r="A29" s="241"/>
      <c r="B29" s="251" t="s">
        <v>253</v>
      </c>
      <c r="C29" s="16"/>
      <c r="D29" s="17"/>
      <c r="E29" s="252">
        <v>45932.0</v>
      </c>
      <c r="F29" s="252">
        <v>45932.0</v>
      </c>
      <c r="G29" s="252">
        <v>45932.0</v>
      </c>
      <c r="H29" s="252">
        <v>45932.0</v>
      </c>
      <c r="I29" s="252">
        <v>45932.0</v>
      </c>
      <c r="J29" s="252">
        <v>45932.0</v>
      </c>
      <c r="K29" s="252">
        <v>45932.0</v>
      </c>
      <c r="L29" s="252">
        <v>45932.0</v>
      </c>
      <c r="M29" s="252">
        <v>45932.0</v>
      </c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203"/>
      <c r="AC29" s="203"/>
      <c r="AD29" s="203"/>
      <c r="AE29" s="203"/>
      <c r="AF29" s="203"/>
      <c r="AG29" s="203"/>
      <c r="AH29" s="203"/>
    </row>
    <row r="30" ht="74.25" customHeight="1">
      <c r="A30" s="253"/>
      <c r="B30" s="254" t="s">
        <v>254</v>
      </c>
      <c r="C30" s="255"/>
      <c r="D30" s="256"/>
      <c r="E30" s="257"/>
      <c r="F30" s="258"/>
      <c r="G30" s="259"/>
      <c r="H30" s="257"/>
      <c r="I30" s="257"/>
      <c r="J30" s="257"/>
      <c r="K30" s="257"/>
      <c r="L30" s="257"/>
      <c r="M30" s="257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  <c r="AB30" s="203"/>
      <c r="AC30" s="203"/>
      <c r="AD30" s="203"/>
      <c r="AE30" s="203"/>
      <c r="AF30" s="203"/>
      <c r="AG30" s="203"/>
      <c r="AH30" s="203"/>
    </row>
    <row r="31" ht="15.75" customHeight="1">
      <c r="A31" s="198"/>
      <c r="B31" s="198"/>
      <c r="C31" s="198"/>
      <c r="D31" s="198"/>
      <c r="E31" s="198"/>
      <c r="F31" s="198"/>
      <c r="G31" s="199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9"/>
      <c r="W31" s="198"/>
      <c r="X31" s="198"/>
      <c r="Y31" s="198"/>
      <c r="Z31" s="198"/>
      <c r="AA31" s="198"/>
      <c r="AB31" s="198"/>
      <c r="AC31" s="198"/>
      <c r="AD31" s="198"/>
      <c r="AE31" s="198"/>
      <c r="AF31" s="198"/>
      <c r="AG31" s="198"/>
      <c r="AH31" s="198"/>
    </row>
    <row r="32" ht="15.75" customHeight="1">
      <c r="A32" s="198"/>
      <c r="B32" s="198"/>
      <c r="C32" s="198"/>
      <c r="D32" s="198"/>
      <c r="E32" s="198"/>
      <c r="F32" s="198"/>
      <c r="G32" s="199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9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</row>
    <row r="33" ht="15.75" customHeight="1">
      <c r="A33" s="198"/>
      <c r="B33" s="198"/>
      <c r="C33" s="198"/>
      <c r="D33" s="198"/>
      <c r="E33" s="198"/>
      <c r="F33" s="198"/>
      <c r="G33" s="199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9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</row>
    <row r="34" ht="15.75" customHeight="1">
      <c r="A34" s="198"/>
      <c r="B34" s="198"/>
      <c r="C34" s="198"/>
      <c r="D34" s="198"/>
      <c r="E34" s="198"/>
      <c r="F34" s="198"/>
      <c r="G34" s="199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9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</row>
    <row r="35" ht="15.75" customHeight="1">
      <c r="A35" s="198"/>
      <c r="B35" s="198"/>
      <c r="C35" s="198"/>
      <c r="D35" s="198"/>
      <c r="E35" s="198"/>
      <c r="F35" s="198"/>
      <c r="G35" s="199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9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</row>
    <row r="36" ht="15.75" customHeight="1">
      <c r="A36" s="198"/>
      <c r="B36" s="198"/>
      <c r="C36" s="198"/>
      <c r="D36" s="198"/>
      <c r="E36" s="198"/>
      <c r="F36" s="198"/>
      <c r="G36" s="199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9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</row>
    <row r="37" ht="15.75" customHeight="1">
      <c r="A37" s="198"/>
      <c r="B37" s="198"/>
      <c r="C37" s="198"/>
      <c r="D37" s="198"/>
      <c r="E37" s="198"/>
      <c r="F37" s="198"/>
      <c r="G37" s="199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9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</row>
    <row r="38" ht="15.75" customHeight="1">
      <c r="A38" s="198"/>
      <c r="B38" s="198"/>
      <c r="C38" s="198"/>
      <c r="D38" s="198"/>
      <c r="E38" s="198"/>
      <c r="F38" s="198"/>
      <c r="G38" s="199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9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</row>
    <row r="39" ht="15.75" customHeight="1">
      <c r="A39" s="198"/>
      <c r="B39" s="198"/>
      <c r="C39" s="198"/>
      <c r="D39" s="198"/>
      <c r="E39" s="198"/>
      <c r="F39" s="198"/>
      <c r="G39" s="199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9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</row>
    <row r="40" ht="15.75" customHeight="1">
      <c r="A40" s="198"/>
      <c r="B40" s="198"/>
      <c r="C40" s="198"/>
      <c r="D40" s="198"/>
      <c r="E40" s="198"/>
      <c r="F40" s="198"/>
      <c r="G40" s="199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9"/>
      <c r="W40" s="198"/>
      <c r="X40" s="198"/>
      <c r="Y40" s="198"/>
      <c r="Z40" s="198"/>
      <c r="AA40" s="198"/>
      <c r="AB40" s="198"/>
      <c r="AC40" s="198"/>
      <c r="AD40" s="198"/>
      <c r="AE40" s="198"/>
      <c r="AF40" s="198"/>
      <c r="AG40" s="198"/>
      <c r="AH40" s="198"/>
    </row>
    <row r="41" ht="15.75" customHeight="1">
      <c r="A41" s="198"/>
      <c r="B41" s="198"/>
      <c r="C41" s="198"/>
      <c r="D41" s="198"/>
      <c r="E41" s="198"/>
      <c r="F41" s="198"/>
      <c r="G41" s="199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9"/>
      <c r="W41" s="198"/>
      <c r="X41" s="198"/>
      <c r="Y41" s="198"/>
      <c r="Z41" s="198"/>
      <c r="AA41" s="198"/>
      <c r="AB41" s="198"/>
      <c r="AC41" s="198"/>
      <c r="AD41" s="198"/>
      <c r="AE41" s="198"/>
      <c r="AF41" s="198"/>
      <c r="AG41" s="198"/>
      <c r="AH41" s="198"/>
    </row>
    <row r="42" ht="15.75" customHeight="1">
      <c r="A42" s="198"/>
      <c r="B42" s="198"/>
      <c r="C42" s="198"/>
      <c r="D42" s="198"/>
      <c r="E42" s="198"/>
      <c r="F42" s="198"/>
      <c r="G42" s="199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9"/>
      <c r="W42" s="198"/>
      <c r="X42" s="198"/>
      <c r="Y42" s="198"/>
      <c r="Z42" s="198"/>
      <c r="AA42" s="198"/>
      <c r="AB42" s="198"/>
      <c r="AC42" s="198"/>
      <c r="AD42" s="198"/>
      <c r="AE42" s="198"/>
      <c r="AF42" s="198"/>
      <c r="AG42" s="198"/>
      <c r="AH42" s="198"/>
    </row>
    <row r="43" ht="15.75" customHeight="1">
      <c r="A43" s="198"/>
      <c r="B43" s="198"/>
      <c r="C43" s="198"/>
      <c r="D43" s="198"/>
      <c r="E43" s="198"/>
      <c r="F43" s="198"/>
      <c r="G43" s="199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9"/>
      <c r="W43" s="198"/>
      <c r="X43" s="198"/>
      <c r="Y43" s="198"/>
      <c r="Z43" s="198"/>
      <c r="AA43" s="198"/>
      <c r="AB43" s="198"/>
      <c r="AC43" s="198"/>
      <c r="AD43" s="198"/>
      <c r="AE43" s="198"/>
      <c r="AF43" s="198"/>
      <c r="AG43" s="198"/>
      <c r="AH43" s="198"/>
    </row>
    <row r="44" ht="15.75" customHeight="1">
      <c r="A44" s="198"/>
      <c r="B44" s="198"/>
      <c r="C44" s="198"/>
      <c r="D44" s="198"/>
      <c r="E44" s="198"/>
      <c r="F44" s="198"/>
      <c r="G44" s="199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9"/>
      <c r="W44" s="198"/>
      <c r="X44" s="198"/>
      <c r="Y44" s="198"/>
      <c r="Z44" s="198"/>
      <c r="AA44" s="198"/>
      <c r="AB44" s="198"/>
      <c r="AC44" s="198"/>
      <c r="AD44" s="198"/>
      <c r="AE44" s="198"/>
      <c r="AF44" s="198"/>
      <c r="AG44" s="198"/>
      <c r="AH44" s="198"/>
    </row>
    <row r="45" ht="15.75" customHeight="1">
      <c r="A45" s="198"/>
      <c r="B45" s="198"/>
      <c r="C45" s="198"/>
      <c r="D45" s="198"/>
      <c r="E45" s="198"/>
      <c r="F45" s="198"/>
      <c r="G45" s="199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9"/>
      <c r="W45" s="198"/>
      <c r="X45" s="198"/>
      <c r="Y45" s="198"/>
      <c r="Z45" s="198"/>
      <c r="AA45" s="198"/>
      <c r="AB45" s="198"/>
      <c r="AC45" s="198"/>
      <c r="AD45" s="198"/>
      <c r="AE45" s="198"/>
      <c r="AF45" s="198"/>
      <c r="AG45" s="198"/>
      <c r="AH45" s="198"/>
    </row>
    <row r="46" ht="15.75" customHeight="1">
      <c r="A46" s="198"/>
      <c r="B46" s="198"/>
      <c r="C46" s="198"/>
      <c r="D46" s="198"/>
      <c r="E46" s="198"/>
      <c r="F46" s="198"/>
      <c r="G46" s="199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9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</row>
    <row r="47" ht="15.75" customHeight="1">
      <c r="A47" s="198"/>
      <c r="B47" s="198"/>
      <c r="C47" s="198"/>
      <c r="D47" s="198"/>
      <c r="E47" s="198"/>
      <c r="F47" s="198"/>
      <c r="G47" s="199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9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</row>
    <row r="48" ht="15.75" customHeight="1">
      <c r="A48" s="198"/>
      <c r="B48" s="198"/>
      <c r="C48" s="198"/>
      <c r="D48" s="198"/>
      <c r="E48" s="198"/>
      <c r="F48" s="198"/>
      <c r="G48" s="199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9"/>
      <c r="W48" s="198"/>
      <c r="X48" s="198"/>
      <c r="Y48" s="198"/>
      <c r="Z48" s="198"/>
      <c r="AA48" s="198"/>
      <c r="AB48" s="198"/>
      <c r="AC48" s="198"/>
      <c r="AD48" s="198"/>
      <c r="AE48" s="198"/>
      <c r="AF48" s="198"/>
      <c r="AG48" s="198"/>
      <c r="AH48" s="198"/>
    </row>
    <row r="49" ht="15.75" customHeight="1">
      <c r="A49" s="198"/>
      <c r="B49" s="198"/>
      <c r="C49" s="198"/>
      <c r="D49" s="198"/>
      <c r="E49" s="198"/>
      <c r="F49" s="198"/>
      <c r="G49" s="199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9"/>
      <c r="W49" s="198"/>
      <c r="X49" s="198"/>
      <c r="Y49" s="198"/>
      <c r="Z49" s="198"/>
      <c r="AA49" s="198"/>
      <c r="AB49" s="198"/>
      <c r="AC49" s="198"/>
      <c r="AD49" s="198"/>
      <c r="AE49" s="198"/>
      <c r="AF49" s="198"/>
      <c r="AG49" s="198"/>
      <c r="AH49" s="198"/>
    </row>
    <row r="50" ht="15.75" customHeight="1">
      <c r="A50" s="198"/>
      <c r="B50" s="198"/>
      <c r="C50" s="198"/>
      <c r="D50" s="198"/>
      <c r="E50" s="198"/>
      <c r="F50" s="198"/>
      <c r="G50" s="199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9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</row>
    <row r="51" ht="15.75" customHeight="1">
      <c r="A51" s="198"/>
      <c r="B51" s="198"/>
      <c r="C51" s="198"/>
      <c r="D51" s="198"/>
      <c r="E51" s="198"/>
      <c r="F51" s="198"/>
      <c r="G51" s="199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9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</row>
    <row r="52" ht="15.75" customHeight="1">
      <c r="A52" s="198"/>
      <c r="B52" s="198"/>
      <c r="C52" s="198"/>
      <c r="D52" s="198"/>
      <c r="E52" s="198"/>
      <c r="F52" s="198"/>
      <c r="G52" s="199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9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</row>
    <row r="53" ht="15.75" customHeight="1">
      <c r="A53" s="198"/>
      <c r="B53" s="198"/>
      <c r="C53" s="198"/>
      <c r="D53" s="198"/>
      <c r="E53" s="198"/>
      <c r="F53" s="198"/>
      <c r="G53" s="199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9"/>
      <c r="W53" s="198"/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</row>
    <row r="54" ht="15.75" customHeight="1">
      <c r="A54" s="198"/>
      <c r="B54" s="198"/>
      <c r="C54" s="198"/>
      <c r="D54" s="198"/>
      <c r="E54" s="198"/>
      <c r="F54" s="198"/>
      <c r="G54" s="199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9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</row>
    <row r="55" ht="15.75" customHeight="1">
      <c r="A55" s="198"/>
      <c r="B55" s="198"/>
      <c r="C55" s="198"/>
      <c r="D55" s="198"/>
      <c r="E55" s="198"/>
      <c r="F55" s="198"/>
      <c r="G55" s="199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9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</row>
    <row r="56" ht="15.75" customHeight="1">
      <c r="A56" s="198"/>
      <c r="B56" s="198"/>
      <c r="C56" s="198"/>
      <c r="D56" s="198"/>
      <c r="E56" s="198"/>
      <c r="F56" s="198"/>
      <c r="G56" s="199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9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</row>
    <row r="57" ht="15.75" customHeight="1">
      <c r="A57" s="198"/>
      <c r="B57" s="198"/>
      <c r="C57" s="198"/>
      <c r="D57" s="198"/>
      <c r="E57" s="198"/>
      <c r="F57" s="198"/>
      <c r="G57" s="199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9"/>
      <c r="W57" s="198"/>
      <c r="X57" s="198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</row>
    <row r="58" ht="15.75" customHeight="1">
      <c r="A58" s="198"/>
      <c r="B58" s="198"/>
      <c r="C58" s="198"/>
      <c r="D58" s="198"/>
      <c r="E58" s="198"/>
      <c r="F58" s="198"/>
      <c r="G58" s="199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9"/>
      <c r="W58" s="198"/>
      <c r="X58" s="198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</row>
    <row r="59" ht="15.75" customHeight="1">
      <c r="A59" s="198"/>
      <c r="B59" s="198"/>
      <c r="C59" s="198"/>
      <c r="D59" s="198"/>
      <c r="E59" s="198"/>
      <c r="F59" s="198"/>
      <c r="G59" s="199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9"/>
      <c r="W59" s="198"/>
      <c r="X59" s="198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</row>
    <row r="60" ht="15.75" customHeight="1">
      <c r="A60" s="198"/>
      <c r="B60" s="198"/>
      <c r="C60" s="198"/>
      <c r="D60" s="198"/>
      <c r="E60" s="198"/>
      <c r="F60" s="198"/>
      <c r="G60" s="199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9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</row>
    <row r="61" ht="15.75" customHeight="1">
      <c r="A61" s="198"/>
      <c r="B61" s="198"/>
      <c r="C61" s="198"/>
      <c r="D61" s="198"/>
      <c r="E61" s="198"/>
      <c r="F61" s="198"/>
      <c r="G61" s="199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9"/>
      <c r="W61" s="198"/>
      <c r="X61" s="198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</row>
    <row r="62" ht="15.75" customHeight="1">
      <c r="A62" s="198"/>
      <c r="B62" s="198"/>
      <c r="C62" s="198"/>
      <c r="D62" s="198"/>
      <c r="E62" s="198"/>
      <c r="F62" s="198"/>
      <c r="G62" s="199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9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</row>
    <row r="63" ht="15.75" customHeight="1">
      <c r="A63" s="198"/>
      <c r="B63" s="198"/>
      <c r="C63" s="198"/>
      <c r="D63" s="198"/>
      <c r="E63" s="198"/>
      <c r="F63" s="198"/>
      <c r="G63" s="199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9"/>
      <c r="W63" s="198"/>
      <c r="X63" s="198"/>
      <c r="Y63" s="198"/>
      <c r="Z63" s="198"/>
      <c r="AA63" s="198"/>
      <c r="AB63" s="198"/>
      <c r="AC63" s="198"/>
      <c r="AD63" s="198"/>
      <c r="AE63" s="198"/>
      <c r="AF63" s="198"/>
      <c r="AG63" s="198"/>
      <c r="AH63" s="198"/>
    </row>
    <row r="64" ht="15.75" customHeight="1">
      <c r="A64" s="198"/>
      <c r="B64" s="198"/>
      <c r="C64" s="198"/>
      <c r="D64" s="198"/>
      <c r="E64" s="198"/>
      <c r="F64" s="198"/>
      <c r="G64" s="199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9"/>
      <c r="W64" s="198"/>
      <c r="X64" s="198"/>
      <c r="Y64" s="198"/>
      <c r="Z64" s="198"/>
      <c r="AA64" s="198"/>
      <c r="AB64" s="198"/>
      <c r="AC64" s="198"/>
      <c r="AD64" s="198"/>
      <c r="AE64" s="198"/>
      <c r="AF64" s="198"/>
      <c r="AG64" s="198"/>
      <c r="AH64" s="198"/>
    </row>
    <row r="65" ht="15.75" customHeight="1">
      <c r="A65" s="198"/>
      <c r="B65" s="198"/>
      <c r="C65" s="198"/>
      <c r="D65" s="198"/>
      <c r="E65" s="198"/>
      <c r="F65" s="198"/>
      <c r="G65" s="199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9"/>
      <c r="W65" s="198"/>
      <c r="X65" s="198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</row>
    <row r="66" ht="15.75" customHeight="1">
      <c r="A66" s="198"/>
      <c r="B66" s="198"/>
      <c r="C66" s="198"/>
      <c r="D66" s="198"/>
      <c r="E66" s="198"/>
      <c r="F66" s="198"/>
      <c r="G66" s="199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9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</row>
    <row r="67" ht="15.75" customHeight="1">
      <c r="A67" s="198"/>
      <c r="B67" s="198"/>
      <c r="C67" s="198"/>
      <c r="D67" s="198"/>
      <c r="E67" s="198"/>
      <c r="F67" s="198"/>
      <c r="G67" s="199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9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</row>
    <row r="68" ht="15.75" customHeight="1">
      <c r="A68" s="198"/>
      <c r="B68" s="198"/>
      <c r="C68" s="198"/>
      <c r="D68" s="198"/>
      <c r="E68" s="198"/>
      <c r="F68" s="198"/>
      <c r="G68" s="199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9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  <c r="AH68" s="198"/>
    </row>
    <row r="69" ht="15.75" customHeight="1">
      <c r="A69" s="198"/>
      <c r="B69" s="198"/>
      <c r="C69" s="198"/>
      <c r="D69" s="198"/>
      <c r="E69" s="198"/>
      <c r="F69" s="198"/>
      <c r="G69" s="199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9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</row>
    <row r="70" ht="15.75" customHeight="1">
      <c r="A70" s="198"/>
      <c r="B70" s="198"/>
      <c r="C70" s="198"/>
      <c r="D70" s="198"/>
      <c r="E70" s="198"/>
      <c r="F70" s="198"/>
      <c r="G70" s="199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9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</row>
    <row r="71" ht="15.75" customHeight="1">
      <c r="A71" s="198"/>
      <c r="B71" s="198"/>
      <c r="C71" s="198"/>
      <c r="D71" s="198"/>
      <c r="E71" s="198"/>
      <c r="F71" s="198"/>
      <c r="G71" s="199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</row>
    <row r="72" ht="15.75" customHeight="1">
      <c r="A72" s="198"/>
      <c r="B72" s="198"/>
      <c r="C72" s="198"/>
      <c r="D72" s="198"/>
      <c r="E72" s="198"/>
      <c r="F72" s="198"/>
      <c r="G72" s="199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9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</row>
    <row r="73" ht="15.75" customHeight="1">
      <c r="A73" s="198"/>
      <c r="B73" s="198"/>
      <c r="C73" s="198"/>
      <c r="D73" s="198"/>
      <c r="E73" s="198"/>
      <c r="F73" s="198"/>
      <c r="G73" s="199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9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</row>
    <row r="74" ht="15.75" customHeight="1">
      <c r="A74" s="198"/>
      <c r="B74" s="198"/>
      <c r="C74" s="198"/>
      <c r="D74" s="198"/>
      <c r="E74" s="198"/>
      <c r="F74" s="198"/>
      <c r="G74" s="199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9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</row>
    <row r="75" ht="15.75" customHeight="1">
      <c r="A75" s="198"/>
      <c r="B75" s="198"/>
      <c r="C75" s="198"/>
      <c r="D75" s="198"/>
      <c r="E75" s="198"/>
      <c r="F75" s="198"/>
      <c r="G75" s="199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9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</row>
    <row r="76" ht="15.75" customHeight="1">
      <c r="A76" s="198"/>
      <c r="B76" s="198"/>
      <c r="C76" s="198"/>
      <c r="D76" s="198"/>
      <c r="E76" s="198"/>
      <c r="F76" s="198"/>
      <c r="G76" s="199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9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</row>
    <row r="77" ht="15.75" customHeight="1">
      <c r="A77" s="198"/>
      <c r="B77" s="198"/>
      <c r="C77" s="198"/>
      <c r="D77" s="198"/>
      <c r="E77" s="198"/>
      <c r="F77" s="198"/>
      <c r="G77" s="199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9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</row>
    <row r="78" ht="15.75" customHeight="1">
      <c r="A78" s="198"/>
      <c r="B78" s="198"/>
      <c r="C78" s="198"/>
      <c r="D78" s="198"/>
      <c r="E78" s="198"/>
      <c r="F78" s="198"/>
      <c r="G78" s="199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9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</row>
    <row r="79" ht="15.75" customHeight="1">
      <c r="A79" s="198"/>
      <c r="B79" s="198"/>
      <c r="C79" s="198"/>
      <c r="D79" s="198"/>
      <c r="E79" s="198"/>
      <c r="F79" s="198"/>
      <c r="G79" s="199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9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</row>
    <row r="80" ht="15.75" customHeight="1">
      <c r="A80" s="198"/>
      <c r="B80" s="198"/>
      <c r="C80" s="198"/>
      <c r="D80" s="198"/>
      <c r="E80" s="198"/>
      <c r="F80" s="198"/>
      <c r="G80" s="199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9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</row>
    <row r="81" ht="15.75" customHeight="1">
      <c r="A81" s="198"/>
      <c r="B81" s="198"/>
      <c r="C81" s="198"/>
      <c r="D81" s="198"/>
      <c r="E81" s="198"/>
      <c r="F81" s="198"/>
      <c r="G81" s="199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9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</row>
    <row r="82" ht="15.75" customHeight="1">
      <c r="A82" s="198"/>
      <c r="B82" s="198"/>
      <c r="C82" s="198"/>
      <c r="D82" s="198"/>
      <c r="E82" s="198"/>
      <c r="F82" s="198"/>
      <c r="G82" s="199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9"/>
      <c r="W82" s="198"/>
      <c r="X82" s="198"/>
      <c r="Y82" s="198"/>
      <c r="Z82" s="198"/>
      <c r="AA82" s="198"/>
      <c r="AB82" s="198"/>
      <c r="AC82" s="198"/>
      <c r="AD82" s="198"/>
      <c r="AE82" s="198"/>
      <c r="AF82" s="198"/>
      <c r="AG82" s="198"/>
      <c r="AH82" s="198"/>
    </row>
    <row r="83" ht="15.75" customHeight="1">
      <c r="A83" s="198"/>
      <c r="B83" s="198"/>
      <c r="C83" s="198"/>
      <c r="D83" s="198"/>
      <c r="E83" s="198"/>
      <c r="F83" s="198"/>
      <c r="G83" s="199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9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</row>
    <row r="84" ht="15.75" customHeight="1">
      <c r="A84" s="198"/>
      <c r="B84" s="198"/>
      <c r="C84" s="198"/>
      <c r="D84" s="198"/>
      <c r="E84" s="198"/>
      <c r="F84" s="198"/>
      <c r="G84" s="199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9"/>
      <c r="W84" s="198"/>
      <c r="X84" s="198"/>
      <c r="Y84" s="198"/>
      <c r="Z84" s="198"/>
      <c r="AA84" s="198"/>
      <c r="AB84" s="198"/>
      <c r="AC84" s="198"/>
      <c r="AD84" s="198"/>
      <c r="AE84" s="198"/>
      <c r="AF84" s="198"/>
      <c r="AG84" s="198"/>
      <c r="AH84" s="198"/>
    </row>
    <row r="85" ht="15.75" customHeight="1">
      <c r="A85" s="198"/>
      <c r="B85" s="198"/>
      <c r="C85" s="198"/>
      <c r="D85" s="198"/>
      <c r="E85" s="198"/>
      <c r="F85" s="198"/>
      <c r="G85" s="199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9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198"/>
      <c r="AH85" s="198"/>
    </row>
    <row r="86" ht="15.75" customHeight="1">
      <c r="A86" s="198"/>
      <c r="B86" s="198"/>
      <c r="C86" s="198"/>
      <c r="D86" s="198"/>
      <c r="E86" s="198"/>
      <c r="F86" s="198"/>
      <c r="G86" s="199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9"/>
      <c r="W86" s="198"/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</row>
    <row r="87" ht="15.75" customHeight="1">
      <c r="A87" s="198"/>
      <c r="B87" s="198"/>
      <c r="C87" s="198"/>
      <c r="D87" s="198"/>
      <c r="E87" s="198"/>
      <c r="F87" s="198"/>
      <c r="G87" s="199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9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198"/>
    </row>
    <row r="88" ht="15.75" customHeight="1">
      <c r="A88" s="198"/>
      <c r="B88" s="198"/>
      <c r="C88" s="198"/>
      <c r="D88" s="198"/>
      <c r="E88" s="198"/>
      <c r="F88" s="198"/>
      <c r="G88" s="199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9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198"/>
    </row>
    <row r="89" ht="15.75" customHeight="1">
      <c r="A89" s="198"/>
      <c r="B89" s="198"/>
      <c r="C89" s="198"/>
      <c r="D89" s="198"/>
      <c r="E89" s="198"/>
      <c r="F89" s="198"/>
      <c r="G89" s="199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9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</row>
    <row r="90" ht="15.75" customHeight="1">
      <c r="A90" s="198"/>
      <c r="B90" s="198"/>
      <c r="C90" s="198"/>
      <c r="D90" s="198"/>
      <c r="E90" s="198"/>
      <c r="F90" s="198"/>
      <c r="G90" s="199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9"/>
      <c r="W90" s="198"/>
      <c r="X90" s="198"/>
      <c r="Y90" s="198"/>
      <c r="Z90" s="198"/>
      <c r="AA90" s="198"/>
      <c r="AB90" s="198"/>
      <c r="AC90" s="198"/>
      <c r="AD90" s="198"/>
      <c r="AE90" s="198"/>
      <c r="AF90" s="198"/>
      <c r="AG90" s="198"/>
      <c r="AH90" s="198"/>
    </row>
    <row r="91" ht="15.75" customHeight="1">
      <c r="A91" s="198"/>
      <c r="B91" s="198"/>
      <c r="C91" s="198"/>
      <c r="D91" s="198"/>
      <c r="E91" s="198"/>
      <c r="F91" s="198"/>
      <c r="G91" s="199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9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198"/>
    </row>
    <row r="92" ht="15.75" customHeight="1">
      <c r="A92" s="198"/>
      <c r="B92" s="198"/>
      <c r="C92" s="198"/>
      <c r="D92" s="198"/>
      <c r="E92" s="198"/>
      <c r="F92" s="198"/>
      <c r="G92" s="199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9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198"/>
    </row>
    <row r="93" ht="15.75" customHeight="1">
      <c r="A93" s="198"/>
      <c r="B93" s="198"/>
      <c r="C93" s="198"/>
      <c r="D93" s="198"/>
      <c r="E93" s="198"/>
      <c r="F93" s="198"/>
      <c r="G93" s="199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9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198"/>
      <c r="AH93" s="198"/>
    </row>
    <row r="94" ht="15.75" customHeight="1">
      <c r="A94" s="198"/>
      <c r="B94" s="198"/>
      <c r="C94" s="198"/>
      <c r="D94" s="198"/>
      <c r="E94" s="198"/>
      <c r="F94" s="198"/>
      <c r="G94" s="199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9"/>
      <c r="W94" s="198"/>
      <c r="X94" s="198"/>
      <c r="Y94" s="198"/>
      <c r="Z94" s="198"/>
      <c r="AA94" s="198"/>
      <c r="AB94" s="198"/>
      <c r="AC94" s="198"/>
      <c r="AD94" s="198"/>
      <c r="AE94" s="198"/>
      <c r="AF94" s="198"/>
      <c r="AG94" s="198"/>
      <c r="AH94" s="198"/>
    </row>
    <row r="95" ht="15.75" customHeight="1">
      <c r="A95" s="198"/>
      <c r="B95" s="198"/>
      <c r="C95" s="198"/>
      <c r="D95" s="198"/>
      <c r="E95" s="198"/>
      <c r="F95" s="198"/>
      <c r="G95" s="199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9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</row>
    <row r="96" ht="15.75" customHeight="1">
      <c r="A96" s="198"/>
      <c r="B96" s="198"/>
      <c r="C96" s="198"/>
      <c r="D96" s="198"/>
      <c r="E96" s="198"/>
      <c r="F96" s="198"/>
      <c r="G96" s="199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9"/>
      <c r="W96" s="198"/>
      <c r="X96" s="198"/>
      <c r="Y96" s="198"/>
      <c r="Z96" s="198"/>
      <c r="AA96" s="198"/>
      <c r="AB96" s="198"/>
      <c r="AC96" s="198"/>
      <c r="AD96" s="198"/>
      <c r="AE96" s="198"/>
      <c r="AF96" s="198"/>
      <c r="AG96" s="198"/>
      <c r="AH96" s="198"/>
    </row>
    <row r="97" ht="15.75" customHeight="1">
      <c r="A97" s="198"/>
      <c r="B97" s="198"/>
      <c r="C97" s="198"/>
      <c r="D97" s="198"/>
      <c r="E97" s="198"/>
      <c r="F97" s="198"/>
      <c r="G97" s="199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9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</row>
    <row r="98" ht="15.75" customHeight="1">
      <c r="A98" s="198"/>
      <c r="B98" s="198"/>
      <c r="C98" s="198"/>
      <c r="D98" s="198"/>
      <c r="E98" s="198"/>
      <c r="F98" s="198"/>
      <c r="G98" s="199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9"/>
      <c r="W98" s="198"/>
      <c r="X98" s="198"/>
      <c r="Y98" s="198"/>
      <c r="Z98" s="198"/>
      <c r="AA98" s="198"/>
      <c r="AB98" s="198"/>
      <c r="AC98" s="198"/>
      <c r="AD98" s="198"/>
      <c r="AE98" s="198"/>
      <c r="AF98" s="198"/>
      <c r="AG98" s="198"/>
      <c r="AH98" s="198"/>
    </row>
    <row r="99" ht="15.75" customHeight="1">
      <c r="A99" s="198"/>
      <c r="B99" s="198"/>
      <c r="C99" s="198"/>
      <c r="D99" s="198"/>
      <c r="E99" s="198"/>
      <c r="F99" s="198"/>
      <c r="G99" s="199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9"/>
      <c r="W99" s="198"/>
      <c r="X99" s="198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</row>
    <row r="100" ht="15.75" customHeight="1">
      <c r="A100" s="198"/>
      <c r="B100" s="198"/>
      <c r="C100" s="198"/>
      <c r="D100" s="198"/>
      <c r="E100" s="198"/>
      <c r="F100" s="198"/>
      <c r="G100" s="199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9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</row>
    <row r="101" ht="15.75" customHeight="1">
      <c r="A101" s="198"/>
      <c r="B101" s="198"/>
      <c r="C101" s="198"/>
      <c r="D101" s="198"/>
      <c r="E101" s="198"/>
      <c r="F101" s="198"/>
      <c r="G101" s="199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9"/>
      <c r="W101" s="198"/>
      <c r="X101" s="198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</row>
    <row r="102" ht="15.75" customHeight="1">
      <c r="A102" s="198"/>
      <c r="B102" s="198"/>
      <c r="C102" s="198"/>
      <c r="D102" s="198"/>
      <c r="E102" s="198"/>
      <c r="F102" s="198"/>
      <c r="G102" s="199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9"/>
      <c r="W102" s="198"/>
      <c r="X102" s="198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</row>
    <row r="103" ht="15.75" customHeight="1">
      <c r="A103" s="198"/>
      <c r="B103" s="198"/>
      <c r="C103" s="198"/>
      <c r="D103" s="198"/>
      <c r="E103" s="198"/>
      <c r="F103" s="198"/>
      <c r="G103" s="199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9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</row>
    <row r="104" ht="15.75" customHeight="1">
      <c r="A104" s="198"/>
      <c r="B104" s="198"/>
      <c r="C104" s="198"/>
      <c r="D104" s="198"/>
      <c r="E104" s="198"/>
      <c r="F104" s="198"/>
      <c r="G104" s="199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9"/>
      <c r="W104" s="198"/>
      <c r="X104" s="198"/>
      <c r="Y104" s="198"/>
      <c r="Z104" s="198"/>
      <c r="AA104" s="198"/>
      <c r="AB104" s="198"/>
      <c r="AC104" s="198"/>
      <c r="AD104" s="198"/>
      <c r="AE104" s="198"/>
      <c r="AF104" s="198"/>
      <c r="AG104" s="198"/>
      <c r="AH104" s="198"/>
    </row>
    <row r="105" ht="15.75" customHeight="1">
      <c r="A105" s="198"/>
      <c r="B105" s="198"/>
      <c r="C105" s="198"/>
      <c r="D105" s="198"/>
      <c r="E105" s="198"/>
      <c r="F105" s="198"/>
      <c r="G105" s="199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9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</row>
    <row r="106" ht="15.75" customHeight="1">
      <c r="A106" s="198"/>
      <c r="B106" s="198"/>
      <c r="C106" s="198"/>
      <c r="D106" s="198"/>
      <c r="E106" s="198"/>
      <c r="F106" s="198"/>
      <c r="G106" s="199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9"/>
      <c r="W106" s="198"/>
      <c r="X106" s="198"/>
      <c r="Y106" s="198"/>
      <c r="Z106" s="198"/>
      <c r="AA106" s="198"/>
      <c r="AB106" s="198"/>
      <c r="AC106" s="198"/>
      <c r="AD106" s="198"/>
      <c r="AE106" s="198"/>
      <c r="AF106" s="198"/>
      <c r="AG106" s="198"/>
      <c r="AH106" s="198"/>
    </row>
    <row r="107" ht="15.75" customHeight="1">
      <c r="A107" s="198"/>
      <c r="B107" s="198"/>
      <c r="C107" s="198"/>
      <c r="D107" s="198"/>
      <c r="E107" s="198"/>
      <c r="F107" s="198"/>
      <c r="G107" s="199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9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  <c r="AH107" s="198"/>
    </row>
    <row r="108" ht="15.75" customHeight="1">
      <c r="A108" s="198"/>
      <c r="B108" s="198"/>
      <c r="C108" s="198"/>
      <c r="D108" s="198"/>
      <c r="E108" s="198"/>
      <c r="F108" s="198"/>
      <c r="G108" s="199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9"/>
      <c r="W108" s="198"/>
      <c r="X108" s="198"/>
      <c r="Y108" s="198"/>
      <c r="Z108" s="198"/>
      <c r="AA108" s="198"/>
      <c r="AB108" s="198"/>
      <c r="AC108" s="198"/>
      <c r="AD108" s="198"/>
      <c r="AE108" s="198"/>
      <c r="AF108" s="198"/>
      <c r="AG108" s="198"/>
      <c r="AH108" s="198"/>
    </row>
    <row r="109" ht="15.75" customHeight="1">
      <c r="A109" s="198"/>
      <c r="B109" s="198"/>
      <c r="C109" s="198"/>
      <c r="D109" s="198"/>
      <c r="E109" s="198"/>
      <c r="F109" s="198"/>
      <c r="G109" s="199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9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198"/>
    </row>
    <row r="110" ht="15.75" customHeight="1">
      <c r="A110" s="198"/>
      <c r="B110" s="198"/>
      <c r="C110" s="198"/>
      <c r="D110" s="198"/>
      <c r="E110" s="198"/>
      <c r="F110" s="198"/>
      <c r="G110" s="199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9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198"/>
    </row>
    <row r="111" ht="15.75" customHeight="1">
      <c r="A111" s="198"/>
      <c r="B111" s="198"/>
      <c r="C111" s="198"/>
      <c r="D111" s="198"/>
      <c r="E111" s="198"/>
      <c r="F111" s="198"/>
      <c r="G111" s="199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9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</row>
    <row r="112" ht="15.75" customHeight="1">
      <c r="A112" s="198"/>
      <c r="B112" s="198"/>
      <c r="C112" s="198"/>
      <c r="D112" s="198"/>
      <c r="E112" s="198"/>
      <c r="F112" s="198"/>
      <c r="G112" s="199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9"/>
      <c r="W112" s="198"/>
      <c r="X112" s="198"/>
      <c r="Y112" s="198"/>
      <c r="Z112" s="198"/>
      <c r="AA112" s="198"/>
      <c r="AB112" s="198"/>
      <c r="AC112" s="198"/>
      <c r="AD112" s="198"/>
      <c r="AE112" s="198"/>
      <c r="AF112" s="198"/>
      <c r="AG112" s="198"/>
      <c r="AH112" s="198"/>
    </row>
    <row r="113" ht="15.75" customHeight="1">
      <c r="A113" s="198"/>
      <c r="B113" s="198"/>
      <c r="C113" s="198"/>
      <c r="D113" s="198"/>
      <c r="E113" s="198"/>
      <c r="F113" s="198"/>
      <c r="G113" s="199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9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</row>
    <row r="114" ht="15.75" customHeight="1">
      <c r="A114" s="198"/>
      <c r="B114" s="198"/>
      <c r="C114" s="198"/>
      <c r="D114" s="198"/>
      <c r="E114" s="198"/>
      <c r="F114" s="198"/>
      <c r="G114" s="199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9"/>
      <c r="W114" s="198"/>
      <c r="X114" s="198"/>
      <c r="Y114" s="198"/>
      <c r="Z114" s="198"/>
      <c r="AA114" s="198"/>
      <c r="AB114" s="198"/>
      <c r="AC114" s="198"/>
      <c r="AD114" s="198"/>
      <c r="AE114" s="198"/>
      <c r="AF114" s="198"/>
      <c r="AG114" s="198"/>
      <c r="AH114" s="198"/>
    </row>
    <row r="115" ht="15.75" customHeight="1">
      <c r="A115" s="198"/>
      <c r="B115" s="198"/>
      <c r="C115" s="198"/>
      <c r="D115" s="198"/>
      <c r="E115" s="198"/>
      <c r="F115" s="198"/>
      <c r="G115" s="199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9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</row>
    <row r="116" ht="15.75" customHeight="1">
      <c r="A116" s="198"/>
      <c r="B116" s="198"/>
      <c r="C116" s="198"/>
      <c r="D116" s="198"/>
      <c r="E116" s="198"/>
      <c r="F116" s="198"/>
      <c r="G116" s="199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9"/>
      <c r="W116" s="198"/>
      <c r="X116" s="198"/>
      <c r="Y116" s="198"/>
      <c r="Z116" s="198"/>
      <c r="AA116" s="198"/>
      <c r="AB116" s="198"/>
      <c r="AC116" s="198"/>
      <c r="AD116" s="198"/>
      <c r="AE116" s="198"/>
      <c r="AF116" s="198"/>
      <c r="AG116" s="198"/>
      <c r="AH116" s="198"/>
    </row>
    <row r="117" ht="15.75" customHeight="1">
      <c r="A117" s="198"/>
      <c r="B117" s="198"/>
      <c r="C117" s="198"/>
      <c r="D117" s="198"/>
      <c r="E117" s="198"/>
      <c r="F117" s="198"/>
      <c r="G117" s="199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</row>
    <row r="118" ht="15.75" customHeight="1">
      <c r="A118" s="198"/>
      <c r="B118" s="198"/>
      <c r="C118" s="198"/>
      <c r="D118" s="198"/>
      <c r="E118" s="198"/>
      <c r="F118" s="198"/>
      <c r="G118" s="199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9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8"/>
      <c r="AH118" s="198"/>
    </row>
    <row r="119" ht="15.75" customHeight="1">
      <c r="A119" s="198"/>
      <c r="B119" s="198"/>
      <c r="C119" s="198"/>
      <c r="D119" s="198"/>
      <c r="E119" s="198"/>
      <c r="F119" s="198"/>
      <c r="G119" s="199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</row>
    <row r="120" ht="15.75" customHeight="1">
      <c r="A120" s="198"/>
      <c r="B120" s="198"/>
      <c r="C120" s="198"/>
      <c r="D120" s="198"/>
      <c r="E120" s="198"/>
      <c r="F120" s="198"/>
      <c r="G120" s="199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9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8"/>
      <c r="AH120" s="198"/>
    </row>
    <row r="121" ht="15.75" customHeight="1">
      <c r="A121" s="198"/>
      <c r="B121" s="198"/>
      <c r="C121" s="198"/>
      <c r="D121" s="198"/>
      <c r="E121" s="198"/>
      <c r="F121" s="198"/>
      <c r="G121" s="199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9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</row>
    <row r="122" ht="15.75" customHeight="1">
      <c r="A122" s="198"/>
      <c r="B122" s="198"/>
      <c r="C122" s="198"/>
      <c r="D122" s="198"/>
      <c r="E122" s="198"/>
      <c r="F122" s="198"/>
      <c r="G122" s="199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9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198"/>
    </row>
    <row r="123" ht="15.75" customHeight="1">
      <c r="A123" s="198"/>
      <c r="B123" s="198"/>
      <c r="C123" s="198"/>
      <c r="D123" s="198"/>
      <c r="E123" s="198"/>
      <c r="F123" s="198"/>
      <c r="G123" s="199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9"/>
      <c r="W123" s="198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8"/>
      <c r="AH123" s="198"/>
    </row>
    <row r="124" ht="15.75" customHeight="1">
      <c r="A124" s="198"/>
      <c r="B124" s="198"/>
      <c r="C124" s="198"/>
      <c r="D124" s="198"/>
      <c r="E124" s="198"/>
      <c r="F124" s="198"/>
      <c r="G124" s="199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9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8"/>
      <c r="AH124" s="198"/>
    </row>
    <row r="125" ht="15.75" customHeight="1">
      <c r="A125" s="198"/>
      <c r="B125" s="198"/>
      <c r="C125" s="198"/>
      <c r="D125" s="198"/>
      <c r="E125" s="198"/>
      <c r="F125" s="198"/>
      <c r="G125" s="199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9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8"/>
      <c r="AH125" s="198"/>
    </row>
    <row r="126" ht="15.75" customHeight="1">
      <c r="A126" s="198"/>
      <c r="B126" s="198"/>
      <c r="C126" s="198"/>
      <c r="D126" s="198"/>
      <c r="E126" s="198"/>
      <c r="F126" s="198"/>
      <c r="G126" s="199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9"/>
      <c r="W126" s="198"/>
      <c r="X126" s="198"/>
      <c r="Y126" s="198"/>
      <c r="Z126" s="198"/>
      <c r="AA126" s="198"/>
      <c r="AB126" s="198"/>
      <c r="AC126" s="198"/>
      <c r="AD126" s="198"/>
      <c r="AE126" s="198"/>
      <c r="AF126" s="198"/>
      <c r="AG126" s="198"/>
      <c r="AH126" s="198"/>
    </row>
    <row r="127" ht="15.75" customHeight="1">
      <c r="A127" s="198"/>
      <c r="B127" s="198"/>
      <c r="C127" s="198"/>
      <c r="D127" s="198"/>
      <c r="E127" s="198"/>
      <c r="F127" s="198"/>
      <c r="G127" s="199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9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</row>
    <row r="128" ht="15.75" customHeight="1">
      <c r="A128" s="198"/>
      <c r="B128" s="198"/>
      <c r="C128" s="198"/>
      <c r="D128" s="198"/>
      <c r="E128" s="198"/>
      <c r="F128" s="198"/>
      <c r="G128" s="199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9"/>
      <c r="W128" s="198"/>
      <c r="X128" s="198"/>
      <c r="Y128" s="198"/>
      <c r="Z128" s="198"/>
      <c r="AA128" s="198"/>
      <c r="AB128" s="198"/>
      <c r="AC128" s="198"/>
      <c r="AD128" s="198"/>
      <c r="AE128" s="198"/>
      <c r="AF128" s="198"/>
      <c r="AG128" s="198"/>
      <c r="AH128" s="198"/>
    </row>
    <row r="129" ht="15.75" customHeight="1">
      <c r="A129" s="198"/>
      <c r="B129" s="198"/>
      <c r="C129" s="198"/>
      <c r="D129" s="198"/>
      <c r="E129" s="198"/>
      <c r="F129" s="198"/>
      <c r="G129" s="199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9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</row>
    <row r="130" ht="15.75" customHeight="1">
      <c r="A130" s="198"/>
      <c r="B130" s="198"/>
      <c r="C130" s="198"/>
      <c r="D130" s="198"/>
      <c r="E130" s="198"/>
      <c r="F130" s="198"/>
      <c r="G130" s="199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9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198"/>
    </row>
    <row r="131" ht="15.75" customHeight="1">
      <c r="A131" s="198"/>
      <c r="B131" s="198"/>
      <c r="C131" s="198"/>
      <c r="D131" s="198"/>
      <c r="E131" s="198"/>
      <c r="F131" s="198"/>
      <c r="G131" s="199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9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198"/>
    </row>
    <row r="132" ht="15.75" customHeight="1">
      <c r="A132" s="198"/>
      <c r="B132" s="198"/>
      <c r="C132" s="198"/>
      <c r="D132" s="198"/>
      <c r="E132" s="198"/>
      <c r="F132" s="198"/>
      <c r="G132" s="199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9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</row>
    <row r="133" ht="15.75" customHeight="1">
      <c r="A133" s="198"/>
      <c r="B133" s="198"/>
      <c r="C133" s="198"/>
      <c r="D133" s="198"/>
      <c r="E133" s="198"/>
      <c r="F133" s="198"/>
      <c r="G133" s="199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9"/>
      <c r="W133" s="198"/>
      <c r="X133" s="198"/>
      <c r="Y133" s="198"/>
      <c r="Z133" s="198"/>
      <c r="AA133" s="198"/>
      <c r="AB133" s="198"/>
      <c r="AC133" s="198"/>
      <c r="AD133" s="198"/>
      <c r="AE133" s="198"/>
      <c r="AF133" s="198"/>
      <c r="AG133" s="198"/>
      <c r="AH133" s="198"/>
    </row>
    <row r="134" ht="15.75" customHeight="1">
      <c r="A134" s="198"/>
      <c r="B134" s="198"/>
      <c r="C134" s="198"/>
      <c r="D134" s="198"/>
      <c r="E134" s="198"/>
      <c r="F134" s="198"/>
      <c r="G134" s="199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9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</row>
    <row r="135" ht="15.75" customHeight="1">
      <c r="A135" s="198"/>
      <c r="B135" s="198"/>
      <c r="C135" s="198"/>
      <c r="D135" s="198"/>
      <c r="E135" s="198"/>
      <c r="F135" s="198"/>
      <c r="G135" s="199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9"/>
      <c r="W135" s="198"/>
      <c r="X135" s="198"/>
      <c r="Y135" s="198"/>
      <c r="Z135" s="198"/>
      <c r="AA135" s="198"/>
      <c r="AB135" s="198"/>
      <c r="AC135" s="198"/>
      <c r="AD135" s="198"/>
      <c r="AE135" s="198"/>
      <c r="AF135" s="198"/>
      <c r="AG135" s="198"/>
      <c r="AH135" s="198"/>
    </row>
    <row r="136" ht="15.75" customHeight="1">
      <c r="A136" s="198"/>
      <c r="B136" s="198"/>
      <c r="C136" s="198"/>
      <c r="D136" s="198"/>
      <c r="E136" s="198"/>
      <c r="F136" s="198"/>
      <c r="G136" s="199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9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</row>
    <row r="137" ht="15.75" customHeight="1">
      <c r="A137" s="198"/>
      <c r="B137" s="198"/>
      <c r="C137" s="198"/>
      <c r="D137" s="198"/>
      <c r="E137" s="198"/>
      <c r="F137" s="198"/>
      <c r="G137" s="199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9"/>
      <c r="W137" s="198"/>
      <c r="X137" s="198"/>
      <c r="Y137" s="198"/>
      <c r="Z137" s="198"/>
      <c r="AA137" s="198"/>
      <c r="AB137" s="198"/>
      <c r="AC137" s="198"/>
      <c r="AD137" s="198"/>
      <c r="AE137" s="198"/>
      <c r="AF137" s="198"/>
      <c r="AG137" s="198"/>
      <c r="AH137" s="198"/>
    </row>
    <row r="138" ht="15.75" customHeight="1">
      <c r="A138" s="198"/>
      <c r="B138" s="198"/>
      <c r="C138" s="198"/>
      <c r="D138" s="198"/>
      <c r="E138" s="198"/>
      <c r="F138" s="198"/>
      <c r="G138" s="199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9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</row>
    <row r="139" ht="15.75" customHeight="1">
      <c r="A139" s="198"/>
      <c r="B139" s="198"/>
      <c r="C139" s="198"/>
      <c r="D139" s="198"/>
      <c r="E139" s="198"/>
      <c r="F139" s="198"/>
      <c r="G139" s="199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9"/>
      <c r="W139" s="198"/>
      <c r="X139" s="198"/>
      <c r="Y139" s="198"/>
      <c r="Z139" s="198"/>
      <c r="AA139" s="198"/>
      <c r="AB139" s="198"/>
      <c r="AC139" s="198"/>
      <c r="AD139" s="198"/>
      <c r="AE139" s="198"/>
      <c r="AF139" s="198"/>
      <c r="AG139" s="198"/>
      <c r="AH139" s="198"/>
    </row>
    <row r="140" ht="15.75" customHeight="1">
      <c r="A140" s="198"/>
      <c r="B140" s="198"/>
      <c r="C140" s="198"/>
      <c r="D140" s="198"/>
      <c r="E140" s="198"/>
      <c r="F140" s="198"/>
      <c r="G140" s="199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9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</row>
    <row r="141" ht="15.75" customHeight="1">
      <c r="A141" s="198"/>
      <c r="B141" s="198"/>
      <c r="C141" s="198"/>
      <c r="D141" s="198"/>
      <c r="E141" s="198"/>
      <c r="F141" s="198"/>
      <c r="G141" s="199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9"/>
      <c r="W141" s="198"/>
      <c r="X141" s="198"/>
      <c r="Y141" s="198"/>
      <c r="Z141" s="198"/>
      <c r="AA141" s="198"/>
      <c r="AB141" s="198"/>
      <c r="AC141" s="198"/>
      <c r="AD141" s="198"/>
      <c r="AE141" s="198"/>
      <c r="AF141" s="198"/>
      <c r="AG141" s="198"/>
      <c r="AH141" s="198"/>
    </row>
    <row r="142" ht="15.75" customHeight="1">
      <c r="A142" s="198"/>
      <c r="B142" s="198"/>
      <c r="C142" s="198"/>
      <c r="D142" s="198"/>
      <c r="E142" s="198"/>
      <c r="F142" s="198"/>
      <c r="G142" s="199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9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</row>
    <row r="143" ht="15.75" customHeight="1">
      <c r="A143" s="198"/>
      <c r="B143" s="198"/>
      <c r="C143" s="198"/>
      <c r="D143" s="198"/>
      <c r="E143" s="198"/>
      <c r="F143" s="198"/>
      <c r="G143" s="199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9"/>
      <c r="W143" s="198"/>
      <c r="X143" s="198"/>
      <c r="Y143" s="198"/>
      <c r="Z143" s="198"/>
      <c r="AA143" s="198"/>
      <c r="AB143" s="198"/>
      <c r="AC143" s="198"/>
      <c r="AD143" s="198"/>
      <c r="AE143" s="198"/>
      <c r="AF143" s="198"/>
      <c r="AG143" s="198"/>
      <c r="AH143" s="198"/>
    </row>
    <row r="144" ht="15.75" customHeight="1">
      <c r="A144" s="198"/>
      <c r="B144" s="198"/>
      <c r="C144" s="198"/>
      <c r="D144" s="198"/>
      <c r="E144" s="198"/>
      <c r="F144" s="198"/>
      <c r="G144" s="199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9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198"/>
    </row>
    <row r="145" ht="15.75" customHeight="1">
      <c r="A145" s="198"/>
      <c r="B145" s="198"/>
      <c r="C145" s="198"/>
      <c r="D145" s="198"/>
      <c r="E145" s="198"/>
      <c r="F145" s="198"/>
      <c r="G145" s="199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9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198"/>
    </row>
    <row r="146" ht="15.75" customHeight="1">
      <c r="A146" s="198"/>
      <c r="B146" s="198"/>
      <c r="C146" s="198"/>
      <c r="D146" s="198"/>
      <c r="E146" s="198"/>
      <c r="F146" s="198"/>
      <c r="G146" s="199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9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</row>
    <row r="147" ht="15.75" customHeight="1">
      <c r="A147" s="198"/>
      <c r="B147" s="198"/>
      <c r="C147" s="198"/>
      <c r="D147" s="198"/>
      <c r="E147" s="198"/>
      <c r="F147" s="198"/>
      <c r="G147" s="199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9"/>
      <c r="W147" s="198"/>
      <c r="X147" s="198"/>
      <c r="Y147" s="198"/>
      <c r="Z147" s="198"/>
      <c r="AA147" s="198"/>
      <c r="AB147" s="198"/>
      <c r="AC147" s="198"/>
      <c r="AD147" s="198"/>
      <c r="AE147" s="198"/>
      <c r="AF147" s="198"/>
      <c r="AG147" s="198"/>
      <c r="AH147" s="198"/>
    </row>
    <row r="148" ht="15.75" customHeight="1">
      <c r="A148" s="198"/>
      <c r="B148" s="198"/>
      <c r="C148" s="198"/>
      <c r="D148" s="198"/>
      <c r="E148" s="198"/>
      <c r="F148" s="198"/>
      <c r="G148" s="199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9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</row>
    <row r="149" ht="15.75" customHeight="1">
      <c r="A149" s="198"/>
      <c r="B149" s="198"/>
      <c r="C149" s="198"/>
      <c r="D149" s="198"/>
      <c r="E149" s="198"/>
      <c r="F149" s="198"/>
      <c r="G149" s="199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9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198"/>
      <c r="AH149" s="198"/>
    </row>
    <row r="150" ht="15.75" customHeight="1">
      <c r="A150" s="198"/>
      <c r="B150" s="198"/>
      <c r="C150" s="198"/>
      <c r="D150" s="198"/>
      <c r="E150" s="198"/>
      <c r="F150" s="198"/>
      <c r="G150" s="199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9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</row>
    <row r="151" ht="15.75" customHeight="1">
      <c r="A151" s="198"/>
      <c r="B151" s="198"/>
      <c r="C151" s="198"/>
      <c r="D151" s="198"/>
      <c r="E151" s="198"/>
      <c r="F151" s="198"/>
      <c r="G151" s="199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9"/>
      <c r="W151" s="198"/>
      <c r="X151" s="198"/>
      <c r="Y151" s="198"/>
      <c r="Z151" s="198"/>
      <c r="AA151" s="198"/>
      <c r="AB151" s="198"/>
      <c r="AC151" s="198"/>
      <c r="AD151" s="198"/>
      <c r="AE151" s="198"/>
      <c r="AF151" s="198"/>
      <c r="AG151" s="198"/>
      <c r="AH151" s="198"/>
    </row>
    <row r="152" ht="15.75" customHeight="1">
      <c r="A152" s="198"/>
      <c r="B152" s="198"/>
      <c r="C152" s="198"/>
      <c r="D152" s="198"/>
      <c r="E152" s="198"/>
      <c r="F152" s="198"/>
      <c r="G152" s="199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9"/>
      <c r="W152" s="198"/>
      <c r="X152" s="198"/>
      <c r="Y152" s="198"/>
      <c r="Z152" s="198"/>
      <c r="AA152" s="198"/>
      <c r="AB152" s="198"/>
      <c r="AC152" s="198"/>
      <c r="AD152" s="198"/>
      <c r="AE152" s="198"/>
      <c r="AF152" s="198"/>
      <c r="AG152" s="198"/>
      <c r="AH152" s="198"/>
    </row>
    <row r="153" ht="15.75" customHeight="1">
      <c r="A153" s="198"/>
      <c r="B153" s="198"/>
      <c r="C153" s="198"/>
      <c r="D153" s="198"/>
      <c r="E153" s="198"/>
      <c r="F153" s="198"/>
      <c r="G153" s="199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9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</row>
    <row r="154" ht="15.75" customHeight="1">
      <c r="A154" s="198"/>
      <c r="B154" s="198"/>
      <c r="C154" s="198"/>
      <c r="D154" s="198"/>
      <c r="E154" s="198"/>
      <c r="F154" s="198"/>
      <c r="G154" s="199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9"/>
      <c r="W154" s="198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198"/>
    </row>
    <row r="155" ht="15.75" customHeight="1">
      <c r="A155" s="198"/>
      <c r="B155" s="198"/>
      <c r="C155" s="198"/>
      <c r="D155" s="198"/>
      <c r="E155" s="198"/>
      <c r="F155" s="198"/>
      <c r="G155" s="199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9"/>
      <c r="W155" s="198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</row>
    <row r="156" ht="15.75" customHeight="1">
      <c r="A156" s="198"/>
      <c r="B156" s="198"/>
      <c r="C156" s="198"/>
      <c r="D156" s="198"/>
      <c r="E156" s="198"/>
      <c r="F156" s="198"/>
      <c r="G156" s="199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9"/>
      <c r="W156" s="198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198"/>
    </row>
    <row r="157" ht="15.75" customHeight="1">
      <c r="A157" s="198"/>
      <c r="B157" s="198"/>
      <c r="C157" s="198"/>
      <c r="D157" s="198"/>
      <c r="E157" s="198"/>
      <c r="F157" s="198"/>
      <c r="G157" s="199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9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</row>
    <row r="158" ht="15.75" customHeight="1">
      <c r="A158" s="198"/>
      <c r="B158" s="198"/>
      <c r="C158" s="198"/>
      <c r="D158" s="198"/>
      <c r="E158" s="198"/>
      <c r="F158" s="198"/>
      <c r="G158" s="199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9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198"/>
    </row>
    <row r="159" ht="15.75" customHeight="1">
      <c r="A159" s="198"/>
      <c r="B159" s="198"/>
      <c r="C159" s="198"/>
      <c r="D159" s="198"/>
      <c r="E159" s="198"/>
      <c r="F159" s="198"/>
      <c r="G159" s="199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9"/>
      <c r="W159" s="198"/>
      <c r="X159" s="198"/>
      <c r="Y159" s="198"/>
      <c r="Z159" s="198"/>
      <c r="AA159" s="198"/>
      <c r="AB159" s="198"/>
      <c r="AC159" s="198"/>
      <c r="AD159" s="198"/>
      <c r="AE159" s="198"/>
      <c r="AF159" s="198"/>
      <c r="AG159" s="198"/>
      <c r="AH159" s="198"/>
    </row>
    <row r="160" ht="15.75" customHeight="1">
      <c r="A160" s="198"/>
      <c r="B160" s="198"/>
      <c r="C160" s="198"/>
      <c r="D160" s="198"/>
      <c r="E160" s="198"/>
      <c r="F160" s="198"/>
      <c r="G160" s="199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9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</row>
    <row r="161" ht="15.75" customHeight="1">
      <c r="A161" s="198"/>
      <c r="B161" s="198"/>
      <c r="C161" s="198"/>
      <c r="D161" s="198"/>
      <c r="E161" s="198"/>
      <c r="F161" s="198"/>
      <c r="G161" s="199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9"/>
      <c r="W161" s="198"/>
      <c r="X161" s="198"/>
      <c r="Y161" s="198"/>
      <c r="Z161" s="198"/>
      <c r="AA161" s="198"/>
      <c r="AB161" s="198"/>
      <c r="AC161" s="198"/>
      <c r="AD161" s="198"/>
      <c r="AE161" s="198"/>
      <c r="AF161" s="198"/>
      <c r="AG161" s="198"/>
      <c r="AH161" s="198"/>
    </row>
    <row r="162" ht="15.75" customHeight="1">
      <c r="A162" s="198"/>
      <c r="B162" s="198"/>
      <c r="C162" s="198"/>
      <c r="D162" s="198"/>
      <c r="E162" s="198"/>
      <c r="F162" s="198"/>
      <c r="G162" s="199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9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</row>
    <row r="163" ht="15.75" customHeight="1">
      <c r="A163" s="198"/>
      <c r="B163" s="198"/>
      <c r="C163" s="198"/>
      <c r="D163" s="198"/>
      <c r="E163" s="198"/>
      <c r="F163" s="198"/>
      <c r="G163" s="199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9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198"/>
    </row>
    <row r="164" ht="15.75" customHeight="1">
      <c r="A164" s="198"/>
      <c r="B164" s="198"/>
      <c r="C164" s="198"/>
      <c r="D164" s="198"/>
      <c r="E164" s="198"/>
      <c r="F164" s="198"/>
      <c r="G164" s="199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9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</row>
    <row r="165" ht="15.75" customHeight="1">
      <c r="A165" s="198"/>
      <c r="B165" s="198"/>
      <c r="C165" s="198"/>
      <c r="D165" s="198"/>
      <c r="E165" s="198"/>
      <c r="F165" s="198"/>
      <c r="G165" s="199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9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198"/>
    </row>
    <row r="166" ht="15.75" customHeight="1">
      <c r="A166" s="198"/>
      <c r="B166" s="198"/>
      <c r="C166" s="198"/>
      <c r="D166" s="198"/>
      <c r="E166" s="198"/>
      <c r="F166" s="198"/>
      <c r="G166" s="199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9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198"/>
    </row>
    <row r="167" ht="15.75" customHeight="1">
      <c r="A167" s="198"/>
      <c r="B167" s="198"/>
      <c r="C167" s="198"/>
      <c r="D167" s="198"/>
      <c r="E167" s="198"/>
      <c r="F167" s="198"/>
      <c r="G167" s="199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9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</row>
    <row r="168" ht="15.75" customHeight="1">
      <c r="A168" s="198"/>
      <c r="B168" s="198"/>
      <c r="C168" s="198"/>
      <c r="D168" s="198"/>
      <c r="E168" s="198"/>
      <c r="F168" s="198"/>
      <c r="G168" s="199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9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198"/>
    </row>
    <row r="169" ht="15.75" customHeight="1">
      <c r="A169" s="198"/>
      <c r="B169" s="198"/>
      <c r="C169" s="198"/>
      <c r="D169" s="198"/>
      <c r="E169" s="198"/>
      <c r="F169" s="198"/>
      <c r="G169" s="199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9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198"/>
    </row>
    <row r="170" ht="15.75" customHeight="1">
      <c r="A170" s="198"/>
      <c r="B170" s="198"/>
      <c r="C170" s="198"/>
      <c r="D170" s="198"/>
      <c r="E170" s="198"/>
      <c r="F170" s="198"/>
      <c r="G170" s="199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9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</row>
    <row r="171" ht="15.75" customHeight="1">
      <c r="A171" s="198"/>
      <c r="B171" s="198"/>
      <c r="C171" s="198"/>
      <c r="D171" s="198"/>
      <c r="E171" s="198"/>
      <c r="F171" s="198"/>
      <c r="G171" s="199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9"/>
      <c r="W171" s="198"/>
      <c r="X171" s="198"/>
      <c r="Y171" s="198"/>
      <c r="Z171" s="198"/>
      <c r="AA171" s="198"/>
      <c r="AB171" s="198"/>
      <c r="AC171" s="198"/>
      <c r="AD171" s="198"/>
      <c r="AE171" s="198"/>
      <c r="AF171" s="198"/>
      <c r="AG171" s="198"/>
      <c r="AH171" s="198"/>
    </row>
    <row r="172" ht="15.75" customHeight="1">
      <c r="A172" s="198"/>
      <c r="B172" s="198"/>
      <c r="C172" s="198"/>
      <c r="D172" s="198"/>
      <c r="E172" s="198"/>
      <c r="F172" s="198"/>
      <c r="G172" s="199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9"/>
      <c r="W172" s="198"/>
      <c r="X172" s="198"/>
      <c r="Y172" s="198"/>
      <c r="Z172" s="198"/>
      <c r="AA172" s="198"/>
      <c r="AB172" s="198"/>
      <c r="AC172" s="198"/>
      <c r="AD172" s="198"/>
      <c r="AE172" s="198"/>
      <c r="AF172" s="198"/>
      <c r="AG172" s="198"/>
      <c r="AH172" s="198"/>
    </row>
    <row r="173" ht="15.75" customHeight="1">
      <c r="A173" s="198"/>
      <c r="B173" s="198"/>
      <c r="C173" s="198"/>
      <c r="D173" s="198"/>
      <c r="E173" s="198"/>
      <c r="F173" s="198"/>
      <c r="G173" s="199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9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</row>
    <row r="174" ht="15.75" customHeight="1">
      <c r="A174" s="198"/>
      <c r="B174" s="198"/>
      <c r="C174" s="198"/>
      <c r="D174" s="198"/>
      <c r="E174" s="198"/>
      <c r="F174" s="198"/>
      <c r="G174" s="199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9"/>
      <c r="W174" s="198"/>
      <c r="X174" s="198"/>
      <c r="Y174" s="198"/>
      <c r="Z174" s="198"/>
      <c r="AA174" s="198"/>
      <c r="AB174" s="198"/>
      <c r="AC174" s="198"/>
      <c r="AD174" s="198"/>
      <c r="AE174" s="198"/>
      <c r="AF174" s="198"/>
      <c r="AG174" s="198"/>
      <c r="AH174" s="198"/>
    </row>
    <row r="175" ht="15.75" customHeight="1">
      <c r="A175" s="198"/>
      <c r="B175" s="198"/>
      <c r="C175" s="198"/>
      <c r="D175" s="198"/>
      <c r="E175" s="198"/>
      <c r="F175" s="198"/>
      <c r="G175" s="199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9"/>
      <c r="W175" s="198"/>
      <c r="X175" s="198"/>
      <c r="Y175" s="198"/>
      <c r="Z175" s="198"/>
      <c r="AA175" s="198"/>
      <c r="AB175" s="198"/>
      <c r="AC175" s="198"/>
      <c r="AD175" s="198"/>
      <c r="AE175" s="198"/>
      <c r="AF175" s="198"/>
      <c r="AG175" s="198"/>
      <c r="AH175" s="198"/>
    </row>
    <row r="176" ht="15.75" customHeight="1">
      <c r="A176" s="198"/>
      <c r="B176" s="198"/>
      <c r="C176" s="198"/>
      <c r="D176" s="198"/>
      <c r="E176" s="198"/>
      <c r="F176" s="198"/>
      <c r="G176" s="199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9"/>
      <c r="W176" s="198"/>
      <c r="X176" s="198"/>
      <c r="Y176" s="198"/>
      <c r="Z176" s="198"/>
      <c r="AA176" s="198"/>
      <c r="AB176" s="198"/>
      <c r="AC176" s="198"/>
      <c r="AD176" s="198"/>
      <c r="AE176" s="198"/>
      <c r="AF176" s="198"/>
      <c r="AG176" s="198"/>
      <c r="AH176" s="198"/>
    </row>
    <row r="177" ht="15.75" customHeight="1">
      <c r="A177" s="198"/>
      <c r="B177" s="198"/>
      <c r="C177" s="198"/>
      <c r="D177" s="198"/>
      <c r="E177" s="198"/>
      <c r="F177" s="198"/>
      <c r="G177" s="199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9"/>
      <c r="W177" s="198"/>
      <c r="X177" s="198"/>
      <c r="Y177" s="198"/>
      <c r="Z177" s="198"/>
      <c r="AA177" s="198"/>
      <c r="AB177" s="198"/>
      <c r="AC177" s="198"/>
      <c r="AD177" s="198"/>
      <c r="AE177" s="198"/>
      <c r="AF177" s="198"/>
      <c r="AG177" s="198"/>
      <c r="AH177" s="198"/>
    </row>
    <row r="178" ht="15.75" customHeight="1">
      <c r="A178" s="198"/>
      <c r="B178" s="198"/>
      <c r="C178" s="198"/>
      <c r="D178" s="198"/>
      <c r="E178" s="198"/>
      <c r="F178" s="198"/>
      <c r="G178" s="199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9"/>
      <c r="W178" s="198"/>
      <c r="X178" s="198"/>
      <c r="Y178" s="198"/>
      <c r="Z178" s="198"/>
      <c r="AA178" s="198"/>
      <c r="AB178" s="198"/>
      <c r="AC178" s="198"/>
      <c r="AD178" s="198"/>
      <c r="AE178" s="198"/>
      <c r="AF178" s="198"/>
      <c r="AG178" s="198"/>
      <c r="AH178" s="198"/>
    </row>
    <row r="179" ht="15.75" customHeight="1">
      <c r="A179" s="198"/>
      <c r="B179" s="198"/>
      <c r="C179" s="198"/>
      <c r="D179" s="198"/>
      <c r="E179" s="198"/>
      <c r="F179" s="198"/>
      <c r="G179" s="199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9"/>
      <c r="W179" s="198"/>
      <c r="X179" s="198"/>
      <c r="Y179" s="198"/>
      <c r="Z179" s="198"/>
      <c r="AA179" s="198"/>
      <c r="AB179" s="198"/>
      <c r="AC179" s="198"/>
      <c r="AD179" s="198"/>
      <c r="AE179" s="198"/>
      <c r="AF179" s="198"/>
      <c r="AG179" s="198"/>
      <c r="AH179" s="198"/>
    </row>
    <row r="180" ht="15.75" customHeight="1">
      <c r="A180" s="198"/>
      <c r="B180" s="198"/>
      <c r="C180" s="198"/>
      <c r="D180" s="198"/>
      <c r="E180" s="198"/>
      <c r="F180" s="198"/>
      <c r="G180" s="199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9"/>
      <c r="W180" s="198"/>
      <c r="X180" s="198"/>
      <c r="Y180" s="198"/>
      <c r="Z180" s="198"/>
      <c r="AA180" s="198"/>
      <c r="AB180" s="198"/>
      <c r="AC180" s="198"/>
      <c r="AD180" s="198"/>
      <c r="AE180" s="198"/>
      <c r="AF180" s="198"/>
      <c r="AG180" s="198"/>
      <c r="AH180" s="198"/>
    </row>
    <row r="181" ht="15.75" customHeight="1">
      <c r="A181" s="198"/>
      <c r="B181" s="198"/>
      <c r="C181" s="198"/>
      <c r="D181" s="198"/>
      <c r="E181" s="198"/>
      <c r="F181" s="198"/>
      <c r="G181" s="199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9"/>
      <c r="W181" s="198"/>
      <c r="X181" s="198"/>
      <c r="Y181" s="198"/>
      <c r="Z181" s="198"/>
      <c r="AA181" s="198"/>
      <c r="AB181" s="198"/>
      <c r="AC181" s="198"/>
      <c r="AD181" s="198"/>
      <c r="AE181" s="198"/>
      <c r="AF181" s="198"/>
      <c r="AG181" s="198"/>
      <c r="AH181" s="198"/>
    </row>
    <row r="182" ht="15.75" customHeight="1">
      <c r="A182" s="198"/>
      <c r="B182" s="198"/>
      <c r="C182" s="198"/>
      <c r="D182" s="198"/>
      <c r="E182" s="198"/>
      <c r="F182" s="198"/>
      <c r="G182" s="199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9"/>
      <c r="W182" s="198"/>
      <c r="X182" s="198"/>
      <c r="Y182" s="198"/>
      <c r="Z182" s="198"/>
      <c r="AA182" s="198"/>
      <c r="AB182" s="198"/>
      <c r="AC182" s="198"/>
      <c r="AD182" s="198"/>
      <c r="AE182" s="198"/>
      <c r="AF182" s="198"/>
      <c r="AG182" s="198"/>
      <c r="AH182" s="198"/>
    </row>
    <row r="183" ht="15.75" customHeight="1">
      <c r="A183" s="198"/>
      <c r="B183" s="198"/>
      <c r="C183" s="198"/>
      <c r="D183" s="198"/>
      <c r="E183" s="198"/>
      <c r="F183" s="198"/>
      <c r="G183" s="199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9"/>
      <c r="W183" s="198"/>
      <c r="X183" s="198"/>
      <c r="Y183" s="198"/>
      <c r="Z183" s="198"/>
      <c r="AA183" s="198"/>
      <c r="AB183" s="198"/>
      <c r="AC183" s="198"/>
      <c r="AD183" s="198"/>
      <c r="AE183" s="198"/>
      <c r="AF183" s="198"/>
      <c r="AG183" s="198"/>
      <c r="AH183" s="198"/>
    </row>
    <row r="184" ht="15.75" customHeight="1">
      <c r="A184" s="198"/>
      <c r="B184" s="198"/>
      <c r="C184" s="198"/>
      <c r="D184" s="198"/>
      <c r="E184" s="198"/>
      <c r="F184" s="198"/>
      <c r="G184" s="199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9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</row>
    <row r="185" ht="15.75" customHeight="1">
      <c r="A185" s="198"/>
      <c r="B185" s="198"/>
      <c r="C185" s="198"/>
      <c r="D185" s="198"/>
      <c r="E185" s="198"/>
      <c r="F185" s="198"/>
      <c r="G185" s="199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9"/>
      <c r="W185" s="198"/>
      <c r="X185" s="198"/>
      <c r="Y185" s="198"/>
      <c r="Z185" s="198"/>
      <c r="AA185" s="198"/>
      <c r="AB185" s="198"/>
      <c r="AC185" s="198"/>
      <c r="AD185" s="198"/>
      <c r="AE185" s="198"/>
      <c r="AF185" s="198"/>
      <c r="AG185" s="198"/>
      <c r="AH185" s="198"/>
    </row>
    <row r="186" ht="15.75" customHeight="1">
      <c r="A186" s="198"/>
      <c r="B186" s="198"/>
      <c r="C186" s="198"/>
      <c r="D186" s="198"/>
      <c r="E186" s="198"/>
      <c r="F186" s="198"/>
      <c r="G186" s="199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9"/>
      <c r="W186" s="198"/>
      <c r="X186" s="198"/>
      <c r="Y186" s="198"/>
      <c r="Z186" s="198"/>
      <c r="AA186" s="198"/>
      <c r="AB186" s="198"/>
      <c r="AC186" s="198"/>
      <c r="AD186" s="198"/>
      <c r="AE186" s="198"/>
      <c r="AF186" s="198"/>
      <c r="AG186" s="198"/>
      <c r="AH186" s="198"/>
    </row>
    <row r="187" ht="15.75" customHeight="1">
      <c r="A187" s="198"/>
      <c r="B187" s="198"/>
      <c r="C187" s="198"/>
      <c r="D187" s="198"/>
      <c r="E187" s="198"/>
      <c r="F187" s="198"/>
      <c r="G187" s="199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9"/>
      <c r="W187" s="198"/>
      <c r="X187" s="198"/>
      <c r="Y187" s="198"/>
      <c r="Z187" s="198"/>
      <c r="AA187" s="198"/>
      <c r="AB187" s="198"/>
      <c r="AC187" s="198"/>
      <c r="AD187" s="198"/>
      <c r="AE187" s="198"/>
      <c r="AF187" s="198"/>
      <c r="AG187" s="198"/>
      <c r="AH187" s="198"/>
    </row>
    <row r="188" ht="15.75" customHeight="1">
      <c r="A188" s="198"/>
      <c r="B188" s="198"/>
      <c r="C188" s="198"/>
      <c r="D188" s="198"/>
      <c r="E188" s="198"/>
      <c r="F188" s="198"/>
      <c r="G188" s="199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9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</row>
    <row r="189" ht="15.75" customHeight="1">
      <c r="A189" s="198"/>
      <c r="B189" s="198"/>
      <c r="C189" s="198"/>
      <c r="D189" s="198"/>
      <c r="E189" s="198"/>
      <c r="F189" s="198"/>
      <c r="G189" s="199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9"/>
      <c r="W189" s="198"/>
      <c r="X189" s="198"/>
      <c r="Y189" s="198"/>
      <c r="Z189" s="198"/>
      <c r="AA189" s="198"/>
      <c r="AB189" s="198"/>
      <c r="AC189" s="198"/>
      <c r="AD189" s="198"/>
      <c r="AE189" s="198"/>
      <c r="AF189" s="198"/>
      <c r="AG189" s="198"/>
      <c r="AH189" s="198"/>
    </row>
    <row r="190" ht="15.75" customHeight="1">
      <c r="A190" s="198"/>
      <c r="B190" s="198"/>
      <c r="C190" s="198"/>
      <c r="D190" s="198"/>
      <c r="E190" s="198"/>
      <c r="F190" s="198"/>
      <c r="G190" s="199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9"/>
      <c r="W190" s="198"/>
      <c r="X190" s="198"/>
      <c r="Y190" s="198"/>
      <c r="Z190" s="198"/>
      <c r="AA190" s="198"/>
      <c r="AB190" s="198"/>
      <c r="AC190" s="198"/>
      <c r="AD190" s="198"/>
      <c r="AE190" s="198"/>
      <c r="AF190" s="198"/>
      <c r="AG190" s="198"/>
      <c r="AH190" s="198"/>
    </row>
    <row r="191" ht="15.75" customHeight="1">
      <c r="A191" s="198"/>
      <c r="B191" s="198"/>
      <c r="C191" s="198"/>
      <c r="D191" s="198"/>
      <c r="E191" s="198"/>
      <c r="F191" s="198"/>
      <c r="G191" s="199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9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</row>
    <row r="192" ht="15.75" customHeight="1">
      <c r="A192" s="198"/>
      <c r="B192" s="198"/>
      <c r="C192" s="198"/>
      <c r="D192" s="198"/>
      <c r="E192" s="198"/>
      <c r="F192" s="198"/>
      <c r="G192" s="199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9"/>
      <c r="W192" s="198"/>
      <c r="X192" s="198"/>
      <c r="Y192" s="198"/>
      <c r="Z192" s="198"/>
      <c r="AA192" s="198"/>
      <c r="AB192" s="198"/>
      <c r="AC192" s="198"/>
      <c r="AD192" s="198"/>
      <c r="AE192" s="198"/>
      <c r="AF192" s="198"/>
      <c r="AG192" s="198"/>
      <c r="AH192" s="198"/>
    </row>
    <row r="193" ht="15.75" customHeight="1">
      <c r="A193" s="198"/>
      <c r="B193" s="198"/>
      <c r="C193" s="198"/>
      <c r="D193" s="198"/>
      <c r="E193" s="198"/>
      <c r="F193" s="198"/>
      <c r="G193" s="199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9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</row>
    <row r="194" ht="15.75" customHeight="1">
      <c r="A194" s="198"/>
      <c r="B194" s="198"/>
      <c r="C194" s="198"/>
      <c r="D194" s="198"/>
      <c r="E194" s="198"/>
      <c r="F194" s="198"/>
      <c r="G194" s="199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9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</row>
    <row r="195" ht="15.75" customHeight="1">
      <c r="A195" s="198"/>
      <c r="B195" s="198"/>
      <c r="C195" s="198"/>
      <c r="D195" s="198"/>
      <c r="E195" s="198"/>
      <c r="F195" s="198"/>
      <c r="G195" s="199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9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</row>
    <row r="196" ht="15.75" customHeight="1">
      <c r="A196" s="198"/>
      <c r="B196" s="198"/>
      <c r="C196" s="198"/>
      <c r="D196" s="198"/>
      <c r="E196" s="198"/>
      <c r="F196" s="198"/>
      <c r="G196" s="199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9"/>
      <c r="W196" s="198"/>
      <c r="X196" s="198"/>
      <c r="Y196" s="198"/>
      <c r="Z196" s="198"/>
      <c r="AA196" s="198"/>
      <c r="AB196" s="198"/>
      <c r="AC196" s="198"/>
      <c r="AD196" s="198"/>
      <c r="AE196" s="198"/>
      <c r="AF196" s="198"/>
      <c r="AG196" s="198"/>
      <c r="AH196" s="198"/>
    </row>
    <row r="197" ht="15.75" customHeight="1">
      <c r="A197" s="198"/>
      <c r="B197" s="198"/>
      <c r="C197" s="198"/>
      <c r="D197" s="198"/>
      <c r="E197" s="198"/>
      <c r="F197" s="198"/>
      <c r="G197" s="199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9"/>
      <c r="W197" s="198"/>
      <c r="X197" s="198"/>
      <c r="Y197" s="198"/>
      <c r="Z197" s="198"/>
      <c r="AA197" s="198"/>
      <c r="AB197" s="198"/>
      <c r="AC197" s="198"/>
      <c r="AD197" s="198"/>
      <c r="AE197" s="198"/>
      <c r="AF197" s="198"/>
      <c r="AG197" s="198"/>
      <c r="AH197" s="198"/>
    </row>
    <row r="198" ht="15.75" customHeight="1">
      <c r="A198" s="198"/>
      <c r="B198" s="198"/>
      <c r="C198" s="198"/>
      <c r="D198" s="198"/>
      <c r="E198" s="198"/>
      <c r="F198" s="198"/>
      <c r="G198" s="199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9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</row>
    <row r="199" ht="15.75" customHeight="1">
      <c r="A199" s="198"/>
      <c r="B199" s="198"/>
      <c r="C199" s="198"/>
      <c r="D199" s="198"/>
      <c r="E199" s="198"/>
      <c r="F199" s="198"/>
      <c r="G199" s="199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9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</row>
    <row r="200" ht="15.75" customHeight="1">
      <c r="A200" s="198"/>
      <c r="B200" s="198"/>
      <c r="C200" s="198"/>
      <c r="D200" s="198"/>
      <c r="E200" s="198"/>
      <c r="F200" s="198"/>
      <c r="G200" s="199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9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</row>
    <row r="201" ht="15.75" customHeight="1">
      <c r="A201" s="198"/>
      <c r="B201" s="198"/>
      <c r="C201" s="198"/>
      <c r="D201" s="198"/>
      <c r="E201" s="198"/>
      <c r="F201" s="198"/>
      <c r="G201" s="199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9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</row>
    <row r="202" ht="15.75" customHeight="1">
      <c r="A202" s="198"/>
      <c r="B202" s="198"/>
      <c r="C202" s="198"/>
      <c r="D202" s="198"/>
      <c r="E202" s="198"/>
      <c r="F202" s="198"/>
      <c r="G202" s="199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9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</row>
    <row r="203" ht="15.75" customHeight="1">
      <c r="A203" s="198"/>
      <c r="B203" s="198"/>
      <c r="C203" s="198"/>
      <c r="D203" s="198"/>
      <c r="E203" s="198"/>
      <c r="F203" s="198"/>
      <c r="G203" s="199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9"/>
      <c r="W203" s="198"/>
      <c r="X203" s="198"/>
      <c r="Y203" s="198"/>
      <c r="Z203" s="198"/>
      <c r="AA203" s="198"/>
      <c r="AB203" s="198"/>
      <c r="AC203" s="198"/>
      <c r="AD203" s="198"/>
      <c r="AE203" s="198"/>
      <c r="AF203" s="198"/>
      <c r="AG203" s="198"/>
      <c r="AH203" s="198"/>
    </row>
    <row r="204" ht="15.75" customHeight="1">
      <c r="A204" s="198"/>
      <c r="B204" s="198"/>
      <c r="C204" s="198"/>
      <c r="D204" s="198"/>
      <c r="E204" s="198"/>
      <c r="F204" s="198"/>
      <c r="G204" s="199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9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</row>
    <row r="205" ht="15.75" customHeight="1">
      <c r="A205" s="198"/>
      <c r="B205" s="198"/>
      <c r="C205" s="198"/>
      <c r="D205" s="198"/>
      <c r="E205" s="198"/>
      <c r="F205" s="198"/>
      <c r="G205" s="199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9"/>
      <c r="W205" s="198"/>
      <c r="X205" s="198"/>
      <c r="Y205" s="198"/>
      <c r="Z205" s="198"/>
      <c r="AA205" s="198"/>
      <c r="AB205" s="198"/>
      <c r="AC205" s="198"/>
      <c r="AD205" s="198"/>
      <c r="AE205" s="198"/>
      <c r="AF205" s="198"/>
      <c r="AG205" s="198"/>
      <c r="AH205" s="198"/>
    </row>
    <row r="206" ht="15.75" customHeight="1">
      <c r="A206" s="198"/>
      <c r="B206" s="198"/>
      <c r="C206" s="198"/>
      <c r="D206" s="198"/>
      <c r="E206" s="198"/>
      <c r="F206" s="198"/>
      <c r="G206" s="199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9"/>
      <c r="W206" s="198"/>
      <c r="X206" s="198"/>
      <c r="Y206" s="198"/>
      <c r="Z206" s="198"/>
      <c r="AA206" s="198"/>
      <c r="AB206" s="198"/>
      <c r="AC206" s="198"/>
      <c r="AD206" s="198"/>
      <c r="AE206" s="198"/>
      <c r="AF206" s="198"/>
      <c r="AG206" s="198"/>
      <c r="AH206" s="198"/>
    </row>
    <row r="207" ht="15.75" customHeight="1">
      <c r="A207" s="198"/>
      <c r="B207" s="198"/>
      <c r="C207" s="198"/>
      <c r="D207" s="198"/>
      <c r="E207" s="198"/>
      <c r="F207" s="198"/>
      <c r="G207" s="199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9"/>
      <c r="W207" s="198"/>
      <c r="X207" s="198"/>
      <c r="Y207" s="198"/>
      <c r="Z207" s="198"/>
      <c r="AA207" s="198"/>
      <c r="AB207" s="198"/>
      <c r="AC207" s="198"/>
      <c r="AD207" s="198"/>
      <c r="AE207" s="198"/>
      <c r="AF207" s="198"/>
      <c r="AG207" s="198"/>
      <c r="AH207" s="198"/>
    </row>
    <row r="208" ht="15.75" customHeight="1">
      <c r="A208" s="198"/>
      <c r="B208" s="198"/>
      <c r="C208" s="198"/>
      <c r="D208" s="198"/>
      <c r="E208" s="198"/>
      <c r="F208" s="198"/>
      <c r="G208" s="199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9"/>
      <c r="W208" s="198"/>
      <c r="X208" s="198"/>
      <c r="Y208" s="198"/>
      <c r="Z208" s="198"/>
      <c r="AA208" s="198"/>
      <c r="AB208" s="198"/>
      <c r="AC208" s="198"/>
      <c r="AD208" s="198"/>
      <c r="AE208" s="198"/>
      <c r="AF208" s="198"/>
      <c r="AG208" s="198"/>
      <c r="AH208" s="198"/>
    </row>
    <row r="209" ht="15.75" customHeight="1">
      <c r="A209" s="198"/>
      <c r="B209" s="198"/>
      <c r="C209" s="198"/>
      <c r="D209" s="198"/>
      <c r="E209" s="198"/>
      <c r="F209" s="198"/>
      <c r="G209" s="199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9"/>
      <c r="W209" s="198"/>
      <c r="X209" s="198"/>
      <c r="Y209" s="198"/>
      <c r="Z209" s="198"/>
      <c r="AA209" s="198"/>
      <c r="AB209" s="198"/>
      <c r="AC209" s="198"/>
      <c r="AD209" s="198"/>
      <c r="AE209" s="198"/>
      <c r="AF209" s="198"/>
      <c r="AG209" s="198"/>
      <c r="AH209" s="198"/>
    </row>
    <row r="210" ht="15.75" customHeight="1">
      <c r="A210" s="198"/>
      <c r="B210" s="198"/>
      <c r="C210" s="198"/>
      <c r="D210" s="198"/>
      <c r="E210" s="198"/>
      <c r="F210" s="198"/>
      <c r="G210" s="199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9"/>
      <c r="W210" s="198"/>
      <c r="X210" s="198"/>
      <c r="Y210" s="198"/>
      <c r="Z210" s="198"/>
      <c r="AA210" s="198"/>
      <c r="AB210" s="198"/>
      <c r="AC210" s="198"/>
      <c r="AD210" s="198"/>
      <c r="AE210" s="198"/>
      <c r="AF210" s="198"/>
      <c r="AG210" s="198"/>
      <c r="AH210" s="198"/>
    </row>
    <row r="211" ht="15.75" customHeight="1">
      <c r="A211" s="198"/>
      <c r="B211" s="198"/>
      <c r="C211" s="198"/>
      <c r="D211" s="198"/>
      <c r="E211" s="198"/>
      <c r="F211" s="198"/>
      <c r="G211" s="199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9"/>
      <c r="W211" s="198"/>
      <c r="X211" s="198"/>
      <c r="Y211" s="198"/>
      <c r="Z211" s="198"/>
      <c r="AA211" s="198"/>
      <c r="AB211" s="198"/>
      <c r="AC211" s="198"/>
      <c r="AD211" s="198"/>
      <c r="AE211" s="198"/>
      <c r="AF211" s="198"/>
      <c r="AG211" s="198"/>
      <c r="AH211" s="198"/>
    </row>
    <row r="212" ht="15.75" customHeight="1">
      <c r="A212" s="198"/>
      <c r="B212" s="198"/>
      <c r="C212" s="198"/>
      <c r="D212" s="198"/>
      <c r="E212" s="198"/>
      <c r="F212" s="198"/>
      <c r="G212" s="199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9"/>
      <c r="W212" s="198"/>
      <c r="X212" s="198"/>
      <c r="Y212" s="198"/>
      <c r="Z212" s="198"/>
      <c r="AA212" s="198"/>
      <c r="AB212" s="198"/>
      <c r="AC212" s="198"/>
      <c r="AD212" s="198"/>
      <c r="AE212" s="198"/>
      <c r="AF212" s="198"/>
      <c r="AG212" s="198"/>
      <c r="AH212" s="198"/>
    </row>
    <row r="213" ht="15.75" customHeight="1">
      <c r="A213" s="198"/>
      <c r="B213" s="198"/>
      <c r="C213" s="198"/>
      <c r="D213" s="198"/>
      <c r="E213" s="198"/>
      <c r="F213" s="198"/>
      <c r="G213" s="199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9"/>
      <c r="W213" s="198"/>
      <c r="X213" s="198"/>
      <c r="Y213" s="198"/>
      <c r="Z213" s="198"/>
      <c r="AA213" s="198"/>
      <c r="AB213" s="198"/>
      <c r="AC213" s="198"/>
      <c r="AD213" s="198"/>
      <c r="AE213" s="198"/>
      <c r="AF213" s="198"/>
      <c r="AG213" s="198"/>
      <c r="AH213" s="198"/>
    </row>
    <row r="214" ht="15.75" customHeight="1">
      <c r="A214" s="198"/>
      <c r="B214" s="198"/>
      <c r="C214" s="198"/>
      <c r="D214" s="198"/>
      <c r="E214" s="198"/>
      <c r="F214" s="198"/>
      <c r="G214" s="199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9"/>
      <c r="W214" s="198"/>
      <c r="X214" s="198"/>
      <c r="Y214" s="198"/>
      <c r="Z214" s="198"/>
      <c r="AA214" s="198"/>
      <c r="AB214" s="198"/>
      <c r="AC214" s="198"/>
      <c r="AD214" s="198"/>
      <c r="AE214" s="198"/>
      <c r="AF214" s="198"/>
      <c r="AG214" s="198"/>
      <c r="AH214" s="198"/>
    </row>
    <row r="215" ht="15.75" customHeight="1">
      <c r="A215" s="198"/>
      <c r="B215" s="198"/>
      <c r="C215" s="198"/>
      <c r="D215" s="198"/>
      <c r="E215" s="198"/>
      <c r="F215" s="198"/>
      <c r="G215" s="199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9"/>
      <c r="W215" s="198"/>
      <c r="X215" s="198"/>
      <c r="Y215" s="198"/>
      <c r="Z215" s="198"/>
      <c r="AA215" s="198"/>
      <c r="AB215" s="198"/>
      <c r="AC215" s="198"/>
      <c r="AD215" s="198"/>
      <c r="AE215" s="198"/>
      <c r="AF215" s="198"/>
      <c r="AG215" s="198"/>
      <c r="AH215" s="198"/>
    </row>
    <row r="216" ht="15.75" customHeight="1">
      <c r="A216" s="198"/>
      <c r="B216" s="198"/>
      <c r="C216" s="198"/>
      <c r="D216" s="198"/>
      <c r="E216" s="198"/>
      <c r="F216" s="198"/>
      <c r="G216" s="199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9"/>
      <c r="W216" s="198"/>
      <c r="X216" s="198"/>
      <c r="Y216" s="198"/>
      <c r="Z216" s="198"/>
      <c r="AA216" s="198"/>
      <c r="AB216" s="198"/>
      <c r="AC216" s="198"/>
      <c r="AD216" s="198"/>
      <c r="AE216" s="198"/>
      <c r="AF216" s="198"/>
      <c r="AG216" s="198"/>
      <c r="AH216" s="198"/>
    </row>
    <row r="217" ht="15.75" customHeight="1">
      <c r="A217" s="198"/>
      <c r="B217" s="198"/>
      <c r="C217" s="198"/>
      <c r="D217" s="198"/>
      <c r="E217" s="198"/>
      <c r="F217" s="198"/>
      <c r="G217" s="199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9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</row>
    <row r="218" ht="15.75" customHeight="1">
      <c r="A218" s="198"/>
      <c r="B218" s="198"/>
      <c r="C218" s="198"/>
      <c r="D218" s="198"/>
      <c r="E218" s="198"/>
      <c r="F218" s="198"/>
      <c r="G218" s="199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9"/>
      <c r="W218" s="198"/>
      <c r="X218" s="198"/>
      <c r="Y218" s="198"/>
      <c r="Z218" s="198"/>
      <c r="AA218" s="198"/>
      <c r="AB218" s="198"/>
      <c r="AC218" s="198"/>
      <c r="AD218" s="198"/>
      <c r="AE218" s="198"/>
      <c r="AF218" s="198"/>
      <c r="AG218" s="198"/>
      <c r="AH218" s="198"/>
    </row>
    <row r="219" ht="15.75" customHeight="1">
      <c r="A219" s="198"/>
      <c r="B219" s="198"/>
      <c r="C219" s="198"/>
      <c r="D219" s="198"/>
      <c r="E219" s="198"/>
      <c r="F219" s="198"/>
      <c r="G219" s="199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9"/>
      <c r="W219" s="198"/>
      <c r="X219" s="198"/>
      <c r="Y219" s="198"/>
      <c r="Z219" s="198"/>
      <c r="AA219" s="198"/>
      <c r="AB219" s="198"/>
      <c r="AC219" s="198"/>
      <c r="AD219" s="198"/>
      <c r="AE219" s="198"/>
      <c r="AF219" s="198"/>
      <c r="AG219" s="198"/>
      <c r="AH219" s="198"/>
    </row>
    <row r="220" ht="15.75" customHeight="1">
      <c r="A220" s="198"/>
      <c r="B220" s="198"/>
      <c r="C220" s="198"/>
      <c r="D220" s="198"/>
      <c r="E220" s="198"/>
      <c r="F220" s="198"/>
      <c r="G220" s="199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9"/>
      <c r="W220" s="198"/>
      <c r="X220" s="198"/>
      <c r="Y220" s="198"/>
      <c r="Z220" s="198"/>
      <c r="AA220" s="198"/>
      <c r="AB220" s="198"/>
      <c r="AC220" s="198"/>
      <c r="AD220" s="198"/>
      <c r="AE220" s="198"/>
      <c r="AF220" s="198"/>
      <c r="AG220" s="198"/>
      <c r="AH220" s="198"/>
    </row>
    <row r="221" ht="15.75" customHeight="1">
      <c r="A221" s="198"/>
      <c r="B221" s="198"/>
      <c r="C221" s="198"/>
      <c r="D221" s="198"/>
      <c r="E221" s="198"/>
      <c r="F221" s="198"/>
      <c r="G221" s="199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9"/>
      <c r="W221" s="198"/>
      <c r="X221" s="198"/>
      <c r="Y221" s="198"/>
      <c r="Z221" s="198"/>
      <c r="AA221" s="198"/>
      <c r="AB221" s="198"/>
      <c r="AC221" s="198"/>
      <c r="AD221" s="198"/>
      <c r="AE221" s="198"/>
      <c r="AF221" s="198"/>
      <c r="AG221" s="198"/>
      <c r="AH221" s="198"/>
    </row>
    <row r="222" ht="15.75" customHeight="1">
      <c r="A222" s="198"/>
      <c r="B222" s="198"/>
      <c r="C222" s="198"/>
      <c r="D222" s="198"/>
      <c r="E222" s="198"/>
      <c r="F222" s="198"/>
      <c r="G222" s="199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9"/>
      <c r="W222" s="198"/>
      <c r="X222" s="198"/>
      <c r="Y222" s="198"/>
      <c r="Z222" s="198"/>
      <c r="AA222" s="198"/>
      <c r="AB222" s="198"/>
      <c r="AC222" s="198"/>
      <c r="AD222" s="198"/>
      <c r="AE222" s="198"/>
      <c r="AF222" s="198"/>
      <c r="AG222" s="198"/>
      <c r="AH222" s="198"/>
    </row>
    <row r="223" ht="15.75" customHeight="1">
      <c r="A223" s="198"/>
      <c r="B223" s="198"/>
      <c r="C223" s="198"/>
      <c r="D223" s="198"/>
      <c r="E223" s="198"/>
      <c r="F223" s="198"/>
      <c r="G223" s="199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9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</row>
    <row r="224" ht="15.75" customHeight="1">
      <c r="A224" s="198"/>
      <c r="B224" s="198"/>
      <c r="C224" s="198"/>
      <c r="D224" s="198"/>
      <c r="E224" s="198"/>
      <c r="F224" s="198"/>
      <c r="G224" s="199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9"/>
      <c r="W224" s="198"/>
      <c r="X224" s="198"/>
      <c r="Y224" s="198"/>
      <c r="Z224" s="198"/>
      <c r="AA224" s="198"/>
      <c r="AB224" s="198"/>
      <c r="AC224" s="198"/>
      <c r="AD224" s="198"/>
      <c r="AE224" s="198"/>
      <c r="AF224" s="198"/>
      <c r="AG224" s="198"/>
      <c r="AH224" s="198"/>
    </row>
    <row r="225" ht="15.75" customHeight="1">
      <c r="A225" s="198"/>
      <c r="B225" s="198"/>
      <c r="C225" s="198"/>
      <c r="D225" s="198"/>
      <c r="E225" s="198"/>
      <c r="F225" s="198"/>
      <c r="G225" s="199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9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</row>
    <row r="226" ht="15.75" customHeight="1">
      <c r="A226" s="198"/>
      <c r="B226" s="198"/>
      <c r="C226" s="198"/>
      <c r="D226" s="198"/>
      <c r="E226" s="198"/>
      <c r="F226" s="198"/>
      <c r="G226" s="199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9"/>
      <c r="W226" s="198"/>
      <c r="X226" s="198"/>
      <c r="Y226" s="198"/>
      <c r="Z226" s="198"/>
      <c r="AA226" s="198"/>
      <c r="AB226" s="198"/>
      <c r="AC226" s="198"/>
      <c r="AD226" s="198"/>
      <c r="AE226" s="198"/>
      <c r="AF226" s="198"/>
      <c r="AG226" s="198"/>
      <c r="AH226" s="198"/>
    </row>
    <row r="227" ht="15.75" customHeight="1">
      <c r="A227" s="198"/>
      <c r="B227" s="198"/>
      <c r="C227" s="198"/>
      <c r="D227" s="198"/>
      <c r="E227" s="198"/>
      <c r="F227" s="198"/>
      <c r="G227" s="199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9"/>
      <c r="W227" s="198"/>
      <c r="X227" s="198"/>
      <c r="Y227" s="198"/>
      <c r="Z227" s="198"/>
      <c r="AA227" s="198"/>
      <c r="AB227" s="198"/>
      <c r="AC227" s="198"/>
      <c r="AD227" s="198"/>
      <c r="AE227" s="198"/>
      <c r="AF227" s="198"/>
      <c r="AG227" s="198"/>
      <c r="AH227" s="198"/>
    </row>
    <row r="228" ht="15.75" customHeight="1">
      <c r="A228" s="198"/>
      <c r="B228" s="198"/>
      <c r="C228" s="198"/>
      <c r="D228" s="198"/>
      <c r="E228" s="198"/>
      <c r="F228" s="198"/>
      <c r="G228" s="199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9"/>
      <c r="W228" s="198"/>
      <c r="X228" s="198"/>
      <c r="Y228" s="198"/>
      <c r="Z228" s="198"/>
      <c r="AA228" s="198"/>
      <c r="AB228" s="198"/>
      <c r="AC228" s="198"/>
      <c r="AD228" s="198"/>
      <c r="AE228" s="198"/>
      <c r="AF228" s="198"/>
      <c r="AG228" s="198"/>
      <c r="AH228" s="198"/>
    </row>
    <row r="229" ht="15.75" customHeight="1">
      <c r="A229" s="198"/>
      <c r="B229" s="198"/>
      <c r="C229" s="198"/>
      <c r="D229" s="198"/>
      <c r="E229" s="198"/>
      <c r="F229" s="198"/>
      <c r="G229" s="199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9"/>
      <c r="W229" s="198"/>
      <c r="X229" s="198"/>
      <c r="Y229" s="198"/>
      <c r="Z229" s="198"/>
      <c r="AA229" s="198"/>
      <c r="AB229" s="198"/>
      <c r="AC229" s="198"/>
      <c r="AD229" s="198"/>
      <c r="AE229" s="198"/>
      <c r="AF229" s="198"/>
      <c r="AG229" s="198"/>
      <c r="AH229" s="198"/>
    </row>
    <row r="230" ht="15.75" customHeight="1">
      <c r="A230" s="198"/>
      <c r="B230" s="198"/>
      <c r="C230" s="198"/>
      <c r="D230" s="198"/>
      <c r="E230" s="198"/>
      <c r="F230" s="198"/>
      <c r="G230" s="199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9"/>
      <c r="W230" s="198"/>
      <c r="X230" s="198"/>
      <c r="Y230" s="198"/>
      <c r="Z230" s="198"/>
      <c r="AA230" s="198"/>
      <c r="AB230" s="198"/>
      <c r="AC230" s="198"/>
      <c r="AD230" s="198"/>
      <c r="AE230" s="198"/>
      <c r="AF230" s="198"/>
      <c r="AG230" s="198"/>
      <c r="AH230" s="198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24">
    <mergeCell ref="N2:R2"/>
    <mergeCell ref="M4:R4"/>
    <mergeCell ref="M5:R5"/>
    <mergeCell ref="A1:B1"/>
    <mergeCell ref="C1:D1"/>
    <mergeCell ref="E1:M1"/>
    <mergeCell ref="N1:R1"/>
    <mergeCell ref="C2:D2"/>
    <mergeCell ref="E2:M2"/>
    <mergeCell ref="C3:R3"/>
    <mergeCell ref="C5:D5"/>
    <mergeCell ref="E5:I5"/>
    <mergeCell ref="B21:D21"/>
    <mergeCell ref="B27:D27"/>
    <mergeCell ref="B28:D28"/>
    <mergeCell ref="B29:D29"/>
    <mergeCell ref="B30:D30"/>
    <mergeCell ref="A2:B2"/>
    <mergeCell ref="A3:B3"/>
    <mergeCell ref="A4:B4"/>
    <mergeCell ref="C4:D4"/>
    <mergeCell ref="E4:I4"/>
    <mergeCell ref="J4:L4"/>
    <mergeCell ref="A5:B5"/>
  </mergeCells>
  <dataValidations>
    <dataValidation type="list" allowBlank="1" showInputMessage="1" showErrorMessage="1" prompt=" - " sqref="E28:M28">
      <formula1>"P,F"</formula1>
    </dataValidation>
    <dataValidation type="list" allowBlank="1" showInputMessage="1" showErrorMessage="1" prompt=" - " sqref="E8:M26">
      <formula1>"O"</formula1>
    </dataValidation>
    <dataValidation type="list" allowBlank="1" showInputMessage="1" showErrorMessage="1" prompt=" - " sqref="E27:M27">
      <formula1>"N,A,B"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5"/>
    <col customWidth="1" min="4" max="4" width="21.38"/>
    <col customWidth="1" min="5" max="25" width="4.88"/>
  </cols>
  <sheetData>
    <row r="1">
      <c r="A1" s="159" t="s">
        <v>195</v>
      </c>
      <c r="B1" s="160"/>
      <c r="C1" s="161" t="s">
        <v>196</v>
      </c>
      <c r="D1" s="162"/>
      <c r="E1" s="163" t="s">
        <v>197</v>
      </c>
      <c r="F1" s="160"/>
      <c r="G1" s="160"/>
      <c r="H1" s="160"/>
      <c r="I1" s="160"/>
      <c r="J1" s="160"/>
      <c r="K1" s="160"/>
      <c r="L1" s="160"/>
      <c r="M1" s="160"/>
      <c r="N1" s="164" t="s">
        <v>198</v>
      </c>
      <c r="O1" s="160"/>
      <c r="P1" s="160"/>
      <c r="Q1" s="160"/>
      <c r="R1" s="165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</row>
    <row r="2">
      <c r="A2" s="168" t="s">
        <v>199</v>
      </c>
      <c r="B2" s="169"/>
      <c r="C2" s="170" t="s">
        <v>159</v>
      </c>
      <c r="D2" s="169"/>
      <c r="E2" s="171" t="s">
        <v>200</v>
      </c>
      <c r="F2" s="172"/>
      <c r="G2" s="172"/>
      <c r="H2" s="172"/>
      <c r="I2" s="172"/>
      <c r="J2" s="172"/>
      <c r="K2" s="172"/>
      <c r="L2" s="172"/>
      <c r="M2" s="173"/>
      <c r="N2" s="174" t="s">
        <v>159</v>
      </c>
      <c r="O2" s="172"/>
      <c r="P2" s="172"/>
      <c r="Q2" s="172"/>
      <c r="R2" s="175"/>
      <c r="S2" s="178"/>
      <c r="T2" s="178"/>
      <c r="U2" s="178"/>
      <c r="V2" s="178"/>
      <c r="W2" s="178"/>
      <c r="X2" s="178"/>
      <c r="Y2" s="178"/>
      <c r="Z2" s="260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</row>
    <row r="3">
      <c r="A3" s="179" t="s">
        <v>201</v>
      </c>
      <c r="B3" s="17"/>
      <c r="C3" s="180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81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</row>
    <row r="4">
      <c r="A4" s="183" t="s">
        <v>164</v>
      </c>
      <c r="B4" s="17"/>
      <c r="C4" s="184" t="s">
        <v>165</v>
      </c>
      <c r="D4" s="17"/>
      <c r="E4" s="184" t="s">
        <v>166</v>
      </c>
      <c r="F4" s="16"/>
      <c r="G4" s="16"/>
      <c r="H4" s="16"/>
      <c r="I4" s="16"/>
      <c r="J4" s="185" t="s">
        <v>202</v>
      </c>
      <c r="K4" s="16"/>
      <c r="L4" s="16"/>
      <c r="M4" s="184" t="s">
        <v>169</v>
      </c>
      <c r="N4" s="16"/>
      <c r="O4" s="16"/>
      <c r="P4" s="16"/>
      <c r="Q4" s="16"/>
      <c r="R4" s="181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7"/>
    </row>
    <row r="5">
      <c r="A5" s="188">
        <f>COUNTIF(E30:IE30,"P")</f>
        <v>21</v>
      </c>
      <c r="B5" s="189"/>
      <c r="C5" s="190">
        <f>COUNTIF(E30:IE30,"F")</f>
        <v>0</v>
      </c>
      <c r="D5" s="189"/>
      <c r="E5" s="191">
        <f>SUM(M5,-A5,-C5)</f>
        <v>0</v>
      </c>
      <c r="F5" s="192"/>
      <c r="G5" s="192"/>
      <c r="H5" s="192"/>
      <c r="I5" s="192"/>
      <c r="J5" s="193">
        <f>COUNTIF(A29:IA29,"N")</f>
        <v>2</v>
      </c>
      <c r="K5" s="193">
        <f>COUNTIF(B29:IB29,"A")</f>
        <v>16</v>
      </c>
      <c r="L5" s="193">
        <f>COUNTIF(C29:IC29,"B")</f>
        <v>3</v>
      </c>
      <c r="M5" s="190">
        <f>COUNTA(A7:HS7)</f>
        <v>21</v>
      </c>
      <c r="N5" s="192"/>
      <c r="O5" s="192"/>
      <c r="P5" s="192"/>
      <c r="Q5" s="192"/>
      <c r="R5" s="194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</row>
    <row r="6">
      <c r="A6" s="198"/>
      <c r="B6" s="198"/>
      <c r="C6" s="198"/>
      <c r="D6" s="198"/>
      <c r="E6" s="198"/>
      <c r="F6" s="198"/>
      <c r="G6" s="199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9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</row>
    <row r="7" ht="48.0" customHeight="1">
      <c r="A7" s="200"/>
      <c r="B7" s="201"/>
      <c r="C7" s="201"/>
      <c r="D7" s="201"/>
      <c r="E7" s="202" t="s">
        <v>203</v>
      </c>
      <c r="F7" s="202" t="s">
        <v>204</v>
      </c>
      <c r="G7" s="202" t="s">
        <v>205</v>
      </c>
      <c r="H7" s="202" t="s">
        <v>206</v>
      </c>
      <c r="I7" s="202" t="s">
        <v>207</v>
      </c>
      <c r="J7" s="202" t="s">
        <v>208</v>
      </c>
      <c r="K7" s="202" t="s">
        <v>209</v>
      </c>
      <c r="L7" s="202" t="s">
        <v>210</v>
      </c>
      <c r="M7" s="202" t="s">
        <v>211</v>
      </c>
      <c r="N7" s="202" t="s">
        <v>212</v>
      </c>
      <c r="O7" s="202" t="s">
        <v>213</v>
      </c>
      <c r="P7" s="202" t="s">
        <v>214</v>
      </c>
      <c r="Q7" s="202" t="s">
        <v>215</v>
      </c>
      <c r="R7" s="202" t="s">
        <v>216</v>
      </c>
      <c r="S7" s="202" t="s">
        <v>217</v>
      </c>
      <c r="T7" s="202" t="s">
        <v>218</v>
      </c>
      <c r="U7" s="202" t="s">
        <v>282</v>
      </c>
      <c r="V7" s="202" t="s">
        <v>283</v>
      </c>
      <c r="W7" s="202" t="s">
        <v>301</v>
      </c>
      <c r="X7" s="202" t="s">
        <v>302</v>
      </c>
      <c r="Y7" s="202" t="s">
        <v>303</v>
      </c>
      <c r="Z7" s="199"/>
      <c r="AA7" s="199"/>
      <c r="AB7" s="199"/>
      <c r="AC7" s="198"/>
      <c r="AD7" s="198"/>
      <c r="AE7" s="198"/>
      <c r="AF7" s="203"/>
      <c r="AG7" s="203"/>
      <c r="AH7" s="203"/>
      <c r="AI7" s="203"/>
      <c r="AJ7" s="203"/>
      <c r="AK7" s="203"/>
      <c r="AL7" s="203"/>
      <c r="AM7" s="203"/>
    </row>
    <row r="8">
      <c r="A8" s="204" t="s">
        <v>219</v>
      </c>
      <c r="B8" s="205" t="s">
        <v>220</v>
      </c>
      <c r="C8" s="262"/>
      <c r="D8" s="263"/>
      <c r="E8" s="264"/>
      <c r="F8" s="264"/>
      <c r="G8" s="209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  <c r="X8" s="264"/>
      <c r="Y8" s="264"/>
      <c r="Z8" s="199"/>
      <c r="AA8" s="199"/>
      <c r="AB8" s="199"/>
      <c r="AC8" s="199"/>
      <c r="AD8" s="199"/>
      <c r="AE8" s="199"/>
      <c r="AF8" s="265"/>
      <c r="AG8" s="265"/>
      <c r="AH8" s="265"/>
      <c r="AI8" s="265"/>
      <c r="AJ8" s="265"/>
      <c r="AK8" s="265"/>
      <c r="AL8" s="265"/>
      <c r="AM8" s="265"/>
    </row>
    <row r="9">
      <c r="A9" s="266"/>
      <c r="B9" s="267"/>
      <c r="C9" s="268"/>
      <c r="D9" s="213" t="s">
        <v>221</v>
      </c>
      <c r="E9" s="214" t="s">
        <v>222</v>
      </c>
      <c r="F9" s="214" t="s">
        <v>222</v>
      </c>
      <c r="G9" s="214" t="s">
        <v>222</v>
      </c>
      <c r="H9" s="214" t="s">
        <v>222</v>
      </c>
      <c r="I9" s="214" t="s">
        <v>222</v>
      </c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199"/>
      <c r="AA9" s="199"/>
      <c r="AB9" s="199"/>
      <c r="AC9" s="199"/>
      <c r="AD9" s="199"/>
      <c r="AE9" s="199"/>
      <c r="AF9" s="265"/>
      <c r="AG9" s="265"/>
      <c r="AH9" s="265"/>
      <c r="AI9" s="265"/>
      <c r="AJ9" s="265"/>
      <c r="AK9" s="265"/>
      <c r="AL9" s="265"/>
      <c r="AM9" s="265"/>
    </row>
    <row r="10">
      <c r="A10" s="266"/>
      <c r="B10" s="215" t="s">
        <v>304</v>
      </c>
      <c r="C10" s="268"/>
      <c r="D10" s="303"/>
      <c r="E10" s="264"/>
      <c r="F10" s="264"/>
      <c r="G10" s="209"/>
      <c r="H10" s="264"/>
      <c r="I10" s="264"/>
      <c r="J10" s="264"/>
      <c r="K10" s="264"/>
      <c r="L10" s="219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  <c r="X10" s="264"/>
      <c r="Y10" s="209"/>
      <c r="Z10" s="199"/>
      <c r="AA10" s="199"/>
      <c r="AB10" s="199"/>
      <c r="AC10" s="199"/>
      <c r="AD10" s="199"/>
      <c r="AE10" s="199"/>
      <c r="AF10" s="265"/>
      <c r="AG10" s="265"/>
      <c r="AH10" s="265"/>
      <c r="AI10" s="265"/>
      <c r="AJ10" s="265"/>
      <c r="AK10" s="265"/>
      <c r="AL10" s="265"/>
      <c r="AM10" s="265"/>
    </row>
    <row r="11">
      <c r="A11" s="266"/>
      <c r="B11" s="304"/>
      <c r="C11" s="305" t="s">
        <v>305</v>
      </c>
      <c r="D11" s="218">
        <v>1.0</v>
      </c>
      <c r="E11" s="209" t="s">
        <v>222</v>
      </c>
      <c r="F11" s="264"/>
      <c r="G11" s="306"/>
      <c r="H11" s="209" t="s">
        <v>222</v>
      </c>
      <c r="I11" s="209" t="s">
        <v>222</v>
      </c>
      <c r="J11" s="209" t="s">
        <v>222</v>
      </c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64"/>
      <c r="W11" s="209"/>
      <c r="X11" s="209"/>
      <c r="Y11" s="209"/>
      <c r="Z11" s="199"/>
      <c r="AA11" s="199"/>
      <c r="AB11" s="199"/>
      <c r="AC11" s="199"/>
      <c r="AD11" s="199"/>
      <c r="AE11" s="199"/>
      <c r="AF11" s="265"/>
      <c r="AG11" s="265"/>
      <c r="AH11" s="265"/>
      <c r="AI11" s="265"/>
      <c r="AJ11" s="265"/>
      <c r="AK11" s="265"/>
      <c r="AL11" s="265"/>
      <c r="AM11" s="265"/>
    </row>
    <row r="12">
      <c r="A12" s="266"/>
      <c r="B12" s="221"/>
      <c r="C12" s="217" t="s">
        <v>306</v>
      </c>
      <c r="D12" s="218">
        <v>9999.0</v>
      </c>
      <c r="E12" s="264"/>
      <c r="F12" s="209" t="s">
        <v>222</v>
      </c>
      <c r="G12" s="306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  <c r="X12" s="264"/>
      <c r="Y12" s="209"/>
      <c r="Z12" s="199"/>
      <c r="AA12" s="199"/>
      <c r="AB12" s="199"/>
      <c r="AC12" s="199"/>
      <c r="AD12" s="199"/>
      <c r="AE12" s="199"/>
      <c r="AF12" s="265"/>
      <c r="AG12" s="265"/>
      <c r="AH12" s="265"/>
      <c r="AI12" s="265"/>
      <c r="AJ12" s="265"/>
      <c r="AK12" s="265"/>
      <c r="AL12" s="265"/>
      <c r="AM12" s="265"/>
    </row>
    <row r="13">
      <c r="A13" s="266"/>
      <c r="B13" s="221"/>
      <c r="C13" s="305" t="s">
        <v>307</v>
      </c>
      <c r="D13" s="218" t="s">
        <v>297</v>
      </c>
      <c r="E13" s="264"/>
      <c r="F13" s="264"/>
      <c r="G13" s="209" t="s">
        <v>222</v>
      </c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09"/>
      <c r="Z13" s="199"/>
      <c r="AA13" s="199"/>
      <c r="AB13" s="199"/>
      <c r="AC13" s="199"/>
      <c r="AD13" s="199"/>
      <c r="AE13" s="199"/>
      <c r="AF13" s="265"/>
      <c r="AG13" s="265"/>
      <c r="AH13" s="265"/>
      <c r="AI13" s="265"/>
      <c r="AJ13" s="265"/>
      <c r="AK13" s="265"/>
      <c r="AL13" s="265"/>
      <c r="AM13" s="265"/>
    </row>
    <row r="14">
      <c r="A14" s="266"/>
      <c r="B14" s="221"/>
      <c r="C14" s="217" t="s">
        <v>308</v>
      </c>
      <c r="D14" s="213"/>
      <c r="E14" s="222"/>
      <c r="F14" s="222"/>
      <c r="G14" s="222"/>
      <c r="H14" s="222"/>
      <c r="I14" s="223"/>
      <c r="J14" s="222"/>
      <c r="K14" s="209" t="s">
        <v>222</v>
      </c>
      <c r="L14" s="222"/>
      <c r="M14" s="222"/>
      <c r="N14" s="222"/>
      <c r="O14" s="222"/>
      <c r="P14" s="208"/>
      <c r="Q14" s="208"/>
      <c r="R14" s="208"/>
      <c r="S14" s="208"/>
      <c r="T14" s="208"/>
      <c r="U14" s="208"/>
      <c r="V14" s="209"/>
      <c r="W14" s="209"/>
      <c r="X14" s="264"/>
      <c r="Y14" s="209"/>
      <c r="Z14" s="199"/>
      <c r="AA14" s="199"/>
      <c r="AB14" s="199"/>
      <c r="AC14" s="199"/>
      <c r="AD14" s="199"/>
      <c r="AE14" s="199"/>
      <c r="AF14" s="265"/>
      <c r="AG14" s="265"/>
      <c r="AH14" s="265"/>
      <c r="AI14" s="265"/>
      <c r="AJ14" s="265"/>
      <c r="AK14" s="265"/>
      <c r="AL14" s="265"/>
      <c r="AM14" s="265"/>
    </row>
    <row r="15" ht="15.75" customHeight="1">
      <c r="A15" s="270"/>
      <c r="B15" s="215" t="s">
        <v>309</v>
      </c>
      <c r="C15" s="271"/>
      <c r="D15" s="213"/>
      <c r="E15" s="272"/>
      <c r="F15" s="224"/>
      <c r="G15" s="224"/>
      <c r="H15" s="272"/>
      <c r="I15" s="272"/>
      <c r="J15" s="272"/>
      <c r="K15" s="272"/>
      <c r="L15" s="272"/>
      <c r="M15" s="272"/>
      <c r="N15" s="272"/>
      <c r="O15" s="272"/>
      <c r="P15" s="264"/>
      <c r="Q15" s="264"/>
      <c r="R15" s="264"/>
      <c r="S15" s="264"/>
      <c r="T15" s="264"/>
      <c r="U15" s="264"/>
      <c r="V15" s="264"/>
      <c r="W15" s="264"/>
      <c r="X15" s="264"/>
      <c r="Y15" s="209"/>
      <c r="Z15" s="199"/>
      <c r="AA15" s="199"/>
      <c r="AB15" s="199"/>
      <c r="AC15" s="199"/>
      <c r="AD15" s="199"/>
      <c r="AE15" s="199"/>
      <c r="AF15" s="199"/>
      <c r="AG15" s="265"/>
      <c r="AH15" s="265"/>
      <c r="AI15" s="265"/>
      <c r="AJ15" s="265"/>
      <c r="AK15" s="265"/>
      <c r="AL15" s="265"/>
      <c r="AM15" s="265"/>
    </row>
    <row r="16" ht="15.75" customHeight="1">
      <c r="A16" s="210"/>
      <c r="B16" s="211"/>
      <c r="C16" s="217" t="s">
        <v>310</v>
      </c>
      <c r="D16" s="218">
        <v>1.0</v>
      </c>
      <c r="E16" s="214" t="s">
        <v>222</v>
      </c>
      <c r="F16" s="214" t="s">
        <v>222</v>
      </c>
      <c r="G16" s="209" t="s">
        <v>222</v>
      </c>
      <c r="H16" s="209"/>
      <c r="I16" s="209"/>
      <c r="J16" s="209"/>
      <c r="K16" s="209" t="s">
        <v>222</v>
      </c>
      <c r="L16" s="208"/>
      <c r="M16" s="219"/>
      <c r="N16" s="209"/>
      <c r="O16" s="214"/>
      <c r="P16" s="214"/>
      <c r="Q16" s="214"/>
      <c r="R16" s="214"/>
      <c r="S16" s="214"/>
      <c r="T16" s="214"/>
      <c r="U16" s="214"/>
      <c r="V16" s="214"/>
      <c r="W16" s="214"/>
      <c r="X16" s="264"/>
      <c r="Y16" s="209"/>
      <c r="Z16" s="199"/>
      <c r="AA16" s="199"/>
      <c r="AB16" s="199"/>
      <c r="AC16" s="198"/>
      <c r="AD16" s="198"/>
      <c r="AE16" s="198"/>
      <c r="AF16" s="203"/>
      <c r="AG16" s="203"/>
      <c r="AH16" s="203"/>
      <c r="AI16" s="203"/>
      <c r="AJ16" s="265"/>
      <c r="AK16" s="265"/>
      <c r="AL16" s="265"/>
      <c r="AM16" s="265"/>
    </row>
    <row r="17" ht="15.75" customHeight="1">
      <c r="A17" s="210"/>
      <c r="B17" s="211"/>
      <c r="C17" s="217" t="s">
        <v>311</v>
      </c>
      <c r="D17" s="213" t="s">
        <v>269</v>
      </c>
      <c r="E17" s="208"/>
      <c r="F17" s="209"/>
      <c r="G17" s="214"/>
      <c r="H17" s="224" t="s">
        <v>222</v>
      </c>
      <c r="I17" s="209" t="s">
        <v>222</v>
      </c>
      <c r="J17" s="214"/>
      <c r="K17" s="208"/>
      <c r="L17" s="209"/>
      <c r="M17" s="208"/>
      <c r="N17" s="208"/>
      <c r="O17" s="208"/>
      <c r="P17" s="208"/>
      <c r="Q17" s="208"/>
      <c r="R17" s="208"/>
      <c r="S17" s="264"/>
      <c r="T17" s="264"/>
      <c r="U17" s="264"/>
      <c r="V17" s="264"/>
      <c r="W17" s="264"/>
      <c r="X17" s="264"/>
      <c r="Y17" s="209"/>
      <c r="Z17" s="199"/>
      <c r="AA17" s="199"/>
      <c r="AB17" s="199"/>
      <c r="AC17" s="198"/>
      <c r="AD17" s="198"/>
      <c r="AE17" s="198"/>
      <c r="AF17" s="203"/>
      <c r="AG17" s="203"/>
      <c r="AH17" s="203"/>
      <c r="AI17" s="203"/>
      <c r="AJ17" s="265"/>
      <c r="AK17" s="265"/>
      <c r="AL17" s="265"/>
      <c r="AM17" s="265"/>
    </row>
    <row r="18" ht="15.75" customHeight="1">
      <c r="A18" s="210"/>
      <c r="B18" s="211"/>
      <c r="C18" s="217" t="s">
        <v>296</v>
      </c>
      <c r="D18" s="213" t="s">
        <v>270</v>
      </c>
      <c r="E18" s="208"/>
      <c r="F18" s="208"/>
      <c r="G18" s="214"/>
      <c r="H18" s="214"/>
      <c r="I18" s="214"/>
      <c r="J18" s="209" t="s">
        <v>222</v>
      </c>
      <c r="K18" s="208"/>
      <c r="L18" s="208"/>
      <c r="M18" s="209"/>
      <c r="N18" s="209"/>
      <c r="O18" s="209"/>
      <c r="P18" s="209"/>
      <c r="Q18" s="208"/>
      <c r="R18" s="208"/>
      <c r="S18" s="264"/>
      <c r="T18" s="264"/>
      <c r="U18" s="264"/>
      <c r="V18" s="264"/>
      <c r="W18" s="264"/>
      <c r="X18" s="264"/>
      <c r="Y18" s="209"/>
      <c r="Z18" s="199"/>
      <c r="AA18" s="199"/>
      <c r="AB18" s="199"/>
      <c r="AC18" s="198"/>
      <c r="AD18" s="198"/>
      <c r="AE18" s="198"/>
      <c r="AF18" s="203"/>
      <c r="AG18" s="203"/>
      <c r="AH18" s="203"/>
      <c r="AI18" s="203"/>
      <c r="AJ18" s="265"/>
      <c r="AK18" s="265"/>
      <c r="AL18" s="265"/>
      <c r="AM18" s="265"/>
    </row>
    <row r="19" ht="21.75" customHeight="1">
      <c r="A19" s="226" t="s">
        <v>238</v>
      </c>
      <c r="B19" s="227" t="s">
        <v>239</v>
      </c>
      <c r="C19" s="228"/>
      <c r="D19" s="229"/>
      <c r="E19" s="222"/>
      <c r="F19" s="264"/>
      <c r="G19" s="209"/>
      <c r="H19" s="264"/>
      <c r="I19" s="264"/>
      <c r="J19" s="264"/>
      <c r="K19" s="264"/>
      <c r="L19" s="222"/>
      <c r="M19" s="264"/>
      <c r="N19" s="264"/>
      <c r="O19" s="264"/>
      <c r="P19" s="264"/>
      <c r="Q19" s="264"/>
      <c r="R19" s="264"/>
      <c r="S19" s="264"/>
      <c r="T19" s="264"/>
      <c r="U19" s="264"/>
      <c r="V19" s="264"/>
      <c r="W19" s="264"/>
      <c r="X19" s="264"/>
      <c r="Y19" s="264"/>
      <c r="Z19" s="199"/>
      <c r="AA19" s="199"/>
      <c r="AB19" s="199"/>
      <c r="AC19" s="199"/>
      <c r="AD19" s="199"/>
      <c r="AE19" s="199"/>
      <c r="AF19" s="265"/>
      <c r="AG19" s="265"/>
      <c r="AH19" s="265"/>
      <c r="AI19" s="265"/>
      <c r="AJ19" s="265"/>
      <c r="AK19" s="265"/>
      <c r="AL19" s="265"/>
      <c r="AM19" s="265"/>
    </row>
    <row r="20" ht="21.75" customHeight="1">
      <c r="A20" s="307"/>
      <c r="B20" s="231"/>
      <c r="C20" s="228"/>
      <c r="D20" s="232" t="b">
        <v>1</v>
      </c>
      <c r="E20" s="224" t="s">
        <v>222</v>
      </c>
      <c r="F20" s="272"/>
      <c r="G20" s="223"/>
      <c r="H20" s="272"/>
      <c r="I20" s="272"/>
      <c r="J20" s="272"/>
      <c r="K20" s="272"/>
      <c r="L20" s="223"/>
      <c r="M20" s="272"/>
      <c r="N20" s="272"/>
      <c r="O20" s="272"/>
      <c r="P20" s="264"/>
      <c r="Q20" s="264"/>
      <c r="R20" s="264"/>
      <c r="S20" s="264"/>
      <c r="T20" s="264"/>
      <c r="U20" s="264"/>
      <c r="V20" s="264"/>
      <c r="W20" s="264"/>
      <c r="X20" s="264"/>
      <c r="Y20" s="264"/>
      <c r="Z20" s="199"/>
      <c r="AA20" s="199"/>
      <c r="AB20" s="199"/>
      <c r="AC20" s="199"/>
      <c r="AD20" s="199"/>
      <c r="AE20" s="199"/>
      <c r="AF20" s="265"/>
      <c r="AG20" s="265"/>
      <c r="AH20" s="265"/>
      <c r="AI20" s="265"/>
      <c r="AJ20" s="265"/>
      <c r="AK20" s="265"/>
      <c r="AL20" s="265"/>
      <c r="AM20" s="265"/>
    </row>
    <row r="21" ht="21.75" customHeight="1">
      <c r="A21" s="307"/>
      <c r="B21" s="234"/>
      <c r="C21" s="235"/>
      <c r="D21" s="232" t="b">
        <v>0</v>
      </c>
      <c r="E21" s="224"/>
      <c r="F21" s="223" t="s">
        <v>222</v>
      </c>
      <c r="G21" s="223" t="s">
        <v>222</v>
      </c>
      <c r="H21" s="223" t="s">
        <v>222</v>
      </c>
      <c r="I21" s="223" t="s">
        <v>222</v>
      </c>
      <c r="J21" s="223"/>
      <c r="K21" s="223"/>
      <c r="L21" s="223"/>
      <c r="M21" s="223"/>
      <c r="N21" s="223"/>
      <c r="O21" s="223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199"/>
      <c r="AA21" s="199"/>
      <c r="AB21" s="199"/>
      <c r="AC21" s="199"/>
      <c r="AD21" s="199"/>
      <c r="AE21" s="199"/>
      <c r="AF21" s="265"/>
      <c r="AG21" s="265"/>
      <c r="AH21" s="265"/>
      <c r="AI21" s="265"/>
      <c r="AJ21" s="265"/>
      <c r="AK21" s="265"/>
      <c r="AL21" s="265"/>
      <c r="AM21" s="265"/>
    </row>
    <row r="22" ht="21.75" customHeight="1">
      <c r="A22" s="307"/>
      <c r="B22" s="236" t="s">
        <v>240</v>
      </c>
      <c r="C22" s="277"/>
      <c r="D22" s="278"/>
      <c r="E22" s="224"/>
      <c r="F22" s="272"/>
      <c r="G22" s="272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64"/>
      <c r="Y22" s="264"/>
      <c r="Z22" s="199"/>
      <c r="AA22" s="199"/>
      <c r="AB22" s="199"/>
      <c r="AC22" s="199"/>
      <c r="AD22" s="199"/>
      <c r="AE22" s="199"/>
      <c r="AF22" s="265"/>
      <c r="AG22" s="265"/>
      <c r="AH22" s="265"/>
      <c r="AI22" s="265"/>
      <c r="AJ22" s="265"/>
      <c r="AK22" s="265"/>
      <c r="AL22" s="265"/>
      <c r="AM22" s="265"/>
    </row>
    <row r="23" ht="21.75" customHeight="1">
      <c r="A23" s="307"/>
      <c r="B23" s="237"/>
      <c r="C23" s="280"/>
      <c r="D23" s="281"/>
      <c r="E23" s="224"/>
      <c r="F23" s="272"/>
      <c r="G23" s="223"/>
      <c r="H23" s="272"/>
      <c r="I23" s="272"/>
      <c r="J23" s="272"/>
      <c r="K23" s="272"/>
      <c r="L23" s="223"/>
      <c r="M23" s="272"/>
      <c r="N23" s="272"/>
      <c r="O23" s="272"/>
      <c r="P23" s="264"/>
      <c r="Q23" s="264"/>
      <c r="R23" s="264"/>
      <c r="S23" s="264"/>
      <c r="T23" s="264"/>
      <c r="U23" s="264"/>
      <c r="V23" s="264"/>
      <c r="W23" s="264"/>
      <c r="X23" s="264"/>
      <c r="Y23" s="264"/>
      <c r="Z23" s="199"/>
      <c r="AA23" s="199"/>
      <c r="AB23" s="199"/>
      <c r="AC23" s="199"/>
      <c r="AD23" s="199"/>
      <c r="AE23" s="199"/>
      <c r="AF23" s="265"/>
      <c r="AG23" s="265"/>
      <c r="AH23" s="265"/>
      <c r="AI23" s="265"/>
      <c r="AJ23" s="265"/>
      <c r="AK23" s="265"/>
      <c r="AL23" s="265"/>
      <c r="AM23" s="265"/>
    </row>
    <row r="24" ht="21.75" customHeight="1">
      <c r="A24" s="307"/>
      <c r="B24" s="238"/>
      <c r="C24" s="16"/>
      <c r="D24" s="17"/>
      <c r="E24" s="224"/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199"/>
      <c r="AA24" s="199"/>
      <c r="AB24" s="199"/>
      <c r="AC24" s="199"/>
      <c r="AD24" s="199"/>
      <c r="AE24" s="199"/>
      <c r="AF24" s="265"/>
      <c r="AG24" s="265"/>
      <c r="AH24" s="265"/>
      <c r="AI24" s="265"/>
      <c r="AJ24" s="265"/>
      <c r="AK24" s="265"/>
      <c r="AL24" s="265"/>
      <c r="AM24" s="265"/>
    </row>
    <row r="25" ht="15.75" customHeight="1">
      <c r="A25" s="307"/>
      <c r="B25" s="227" t="s">
        <v>241</v>
      </c>
      <c r="C25" s="228"/>
      <c r="D25" s="229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Z25" s="199"/>
      <c r="AA25" s="199"/>
      <c r="AB25" s="199"/>
      <c r="AC25" s="199"/>
      <c r="AD25" s="199"/>
      <c r="AE25" s="199"/>
      <c r="AF25" s="265"/>
      <c r="AG25" s="265"/>
      <c r="AH25" s="265"/>
      <c r="AI25" s="265"/>
      <c r="AJ25" s="265"/>
      <c r="AK25" s="265"/>
      <c r="AL25" s="265"/>
      <c r="AM25" s="265"/>
    </row>
    <row r="26" ht="21.75" customHeight="1">
      <c r="A26" s="310"/>
      <c r="B26" s="288"/>
      <c r="C26" s="309"/>
      <c r="D26" s="290" t="s">
        <v>312</v>
      </c>
      <c r="E26" s="224" t="s">
        <v>222</v>
      </c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199"/>
      <c r="AA26" s="199"/>
      <c r="AB26" s="265"/>
      <c r="AC26" s="265"/>
      <c r="AD26" s="265"/>
      <c r="AE26" s="265"/>
      <c r="AF26" s="265"/>
      <c r="AG26" s="265"/>
      <c r="AH26" s="265"/>
      <c r="AI26" s="265"/>
      <c r="AJ26" s="265"/>
      <c r="AK26" s="265"/>
      <c r="AL26" s="265"/>
      <c r="AM26" s="265"/>
    </row>
    <row r="27" ht="15.75" customHeight="1">
      <c r="A27" s="310"/>
      <c r="B27" s="283"/>
      <c r="C27" s="309"/>
      <c r="D27" s="323" t="s">
        <v>300</v>
      </c>
      <c r="E27" s="224"/>
      <c r="F27" s="224"/>
      <c r="G27" s="224" t="s">
        <v>222</v>
      </c>
      <c r="H27" s="224" t="s">
        <v>222</v>
      </c>
      <c r="I27" s="209" t="s">
        <v>222</v>
      </c>
      <c r="J27" s="209" t="s">
        <v>222</v>
      </c>
      <c r="K27" s="209" t="s">
        <v>222</v>
      </c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Z27" s="199"/>
      <c r="AA27" s="199"/>
      <c r="AB27" s="265"/>
      <c r="AC27" s="265"/>
      <c r="AD27" s="265"/>
      <c r="AE27" s="265"/>
      <c r="AF27" s="265"/>
      <c r="AG27" s="265"/>
      <c r="AH27" s="265"/>
      <c r="AI27" s="265"/>
      <c r="AJ27" s="265"/>
      <c r="AK27" s="265"/>
      <c r="AL27" s="265"/>
      <c r="AM27" s="265"/>
    </row>
    <row r="28" ht="15.75" customHeight="1">
      <c r="A28" s="297"/>
      <c r="B28" s="300"/>
      <c r="C28" s="298"/>
      <c r="D28" s="323" t="s">
        <v>313</v>
      </c>
      <c r="E28" s="224"/>
      <c r="F28" s="224" t="s">
        <v>222</v>
      </c>
      <c r="G28" s="224"/>
      <c r="H28" s="224"/>
      <c r="I28" s="224"/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03"/>
      <c r="AA28" s="203"/>
      <c r="AB28" s="203"/>
      <c r="AC28" s="203"/>
      <c r="AD28" s="265"/>
      <c r="AE28" s="265"/>
      <c r="AF28" s="265"/>
      <c r="AG28" s="265"/>
      <c r="AH28" s="265"/>
      <c r="AI28" s="265"/>
      <c r="AJ28" s="265"/>
      <c r="AK28" s="265"/>
      <c r="AL28" s="265"/>
      <c r="AM28" s="265"/>
    </row>
    <row r="29" ht="15.75" customHeight="1">
      <c r="A29" s="226" t="s">
        <v>249</v>
      </c>
      <c r="B29" s="245" t="s">
        <v>250</v>
      </c>
      <c r="C29" s="246"/>
      <c r="D29" s="247"/>
      <c r="E29" s="248" t="s">
        <v>167</v>
      </c>
      <c r="F29" s="248" t="s">
        <v>62</v>
      </c>
      <c r="G29" s="248" t="s">
        <v>62</v>
      </c>
      <c r="H29" s="248" t="s">
        <v>62</v>
      </c>
      <c r="I29" s="248" t="s">
        <v>62</v>
      </c>
      <c r="J29" s="248" t="s">
        <v>62</v>
      </c>
      <c r="K29" s="248" t="s">
        <v>168</v>
      </c>
      <c r="L29" s="248" t="s">
        <v>167</v>
      </c>
      <c r="M29" s="248" t="s">
        <v>62</v>
      </c>
      <c r="N29" s="248" t="s">
        <v>62</v>
      </c>
      <c r="O29" s="248" t="s">
        <v>62</v>
      </c>
      <c r="P29" s="248" t="s">
        <v>168</v>
      </c>
      <c r="Q29" s="248" t="s">
        <v>62</v>
      </c>
      <c r="R29" s="248" t="s">
        <v>62</v>
      </c>
      <c r="S29" s="248" t="s">
        <v>62</v>
      </c>
      <c r="T29" s="248" t="s">
        <v>62</v>
      </c>
      <c r="U29" s="248" t="s">
        <v>62</v>
      </c>
      <c r="V29" s="248" t="s">
        <v>168</v>
      </c>
      <c r="W29" s="248" t="s">
        <v>62</v>
      </c>
      <c r="X29" s="248" t="s">
        <v>62</v>
      </c>
      <c r="Y29" s="248" t="s">
        <v>62</v>
      </c>
      <c r="Z29" s="199"/>
      <c r="AA29" s="199"/>
      <c r="AB29" s="199"/>
      <c r="AC29" s="198"/>
      <c r="AD29" s="198"/>
      <c r="AE29" s="198"/>
      <c r="AF29" s="203"/>
      <c r="AG29" s="203"/>
      <c r="AH29" s="203"/>
      <c r="AI29" s="203"/>
      <c r="AJ29" s="203"/>
      <c r="AK29" s="203"/>
      <c r="AL29" s="203"/>
      <c r="AM29" s="203"/>
    </row>
    <row r="30" ht="15.75" customHeight="1">
      <c r="A30" s="241"/>
      <c r="B30" s="249" t="s">
        <v>251</v>
      </c>
      <c r="C30" s="16"/>
      <c r="D30" s="17"/>
      <c r="E30" s="250" t="s">
        <v>252</v>
      </c>
      <c r="F30" s="250" t="s">
        <v>252</v>
      </c>
      <c r="G30" s="250" t="s">
        <v>252</v>
      </c>
      <c r="H30" s="250" t="s">
        <v>252</v>
      </c>
      <c r="I30" s="250" t="s">
        <v>252</v>
      </c>
      <c r="J30" s="250" t="s">
        <v>252</v>
      </c>
      <c r="K30" s="250" t="s">
        <v>252</v>
      </c>
      <c r="L30" s="250" t="s">
        <v>252</v>
      </c>
      <c r="M30" s="250" t="s">
        <v>252</v>
      </c>
      <c r="N30" s="250" t="s">
        <v>252</v>
      </c>
      <c r="O30" s="250" t="s">
        <v>252</v>
      </c>
      <c r="P30" s="250" t="s">
        <v>252</v>
      </c>
      <c r="Q30" s="250" t="s">
        <v>252</v>
      </c>
      <c r="R30" s="250" t="s">
        <v>252</v>
      </c>
      <c r="S30" s="250" t="s">
        <v>252</v>
      </c>
      <c r="T30" s="250" t="s">
        <v>252</v>
      </c>
      <c r="U30" s="250" t="s">
        <v>252</v>
      </c>
      <c r="V30" s="250" t="s">
        <v>252</v>
      </c>
      <c r="W30" s="250" t="s">
        <v>252</v>
      </c>
      <c r="X30" s="250" t="s">
        <v>252</v>
      </c>
      <c r="Y30" s="250" t="s">
        <v>252</v>
      </c>
      <c r="Z30" s="199"/>
      <c r="AA30" s="199"/>
      <c r="AB30" s="199"/>
      <c r="AC30" s="198"/>
      <c r="AD30" s="198"/>
      <c r="AE30" s="198"/>
      <c r="AF30" s="203"/>
      <c r="AG30" s="203"/>
      <c r="AH30" s="203"/>
      <c r="AI30" s="203"/>
      <c r="AJ30" s="203"/>
      <c r="AK30" s="203"/>
      <c r="AL30" s="203"/>
      <c r="AM30" s="203"/>
    </row>
    <row r="31" ht="15.75" customHeight="1">
      <c r="A31" s="241"/>
      <c r="B31" s="251" t="s">
        <v>253</v>
      </c>
      <c r="C31" s="16"/>
      <c r="D31" s="17"/>
      <c r="E31" s="252">
        <v>45933.0</v>
      </c>
      <c r="F31" s="252">
        <v>45933.0</v>
      </c>
      <c r="G31" s="252">
        <v>45933.0</v>
      </c>
      <c r="H31" s="252">
        <v>45933.0</v>
      </c>
      <c r="I31" s="252">
        <v>45933.0</v>
      </c>
      <c r="J31" s="252">
        <v>45933.0</v>
      </c>
      <c r="K31" s="252">
        <v>45933.0</v>
      </c>
      <c r="L31" s="252">
        <v>45933.0</v>
      </c>
      <c r="M31" s="252">
        <v>45933.0</v>
      </c>
      <c r="N31" s="252">
        <v>45933.0</v>
      </c>
      <c r="O31" s="252">
        <v>45933.0</v>
      </c>
      <c r="P31" s="252">
        <v>45933.0</v>
      </c>
      <c r="Q31" s="252">
        <v>45933.0</v>
      </c>
      <c r="R31" s="252">
        <v>45933.0</v>
      </c>
      <c r="S31" s="252">
        <v>45933.0</v>
      </c>
      <c r="T31" s="252">
        <v>45933.0</v>
      </c>
      <c r="U31" s="252">
        <v>45933.0</v>
      </c>
      <c r="V31" s="252">
        <v>45933.0</v>
      </c>
      <c r="W31" s="252">
        <v>45933.0</v>
      </c>
      <c r="X31" s="252">
        <v>45933.0</v>
      </c>
      <c r="Y31" s="252">
        <v>45933.0</v>
      </c>
      <c r="Z31" s="199"/>
      <c r="AA31" s="199"/>
      <c r="AB31" s="199"/>
      <c r="AC31" s="198"/>
      <c r="AD31" s="198"/>
      <c r="AE31" s="198"/>
      <c r="AF31" s="203"/>
      <c r="AG31" s="203"/>
      <c r="AH31" s="203"/>
      <c r="AI31" s="203"/>
      <c r="AJ31" s="203"/>
      <c r="AK31" s="203"/>
      <c r="AL31" s="203"/>
      <c r="AM31" s="203"/>
    </row>
    <row r="32" ht="74.25" customHeight="1">
      <c r="A32" s="253"/>
      <c r="B32" s="254" t="s">
        <v>254</v>
      </c>
      <c r="C32" s="255"/>
      <c r="D32" s="256"/>
      <c r="E32" s="257"/>
      <c r="F32" s="258"/>
      <c r="G32" s="259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199"/>
      <c r="AA32" s="199"/>
      <c r="AB32" s="199"/>
      <c r="AC32" s="198"/>
      <c r="AD32" s="198"/>
      <c r="AE32" s="198"/>
      <c r="AF32" s="203"/>
      <c r="AG32" s="203"/>
      <c r="AH32" s="203"/>
      <c r="AI32" s="203"/>
      <c r="AJ32" s="203"/>
      <c r="AK32" s="203"/>
      <c r="AL32" s="203"/>
      <c r="AM32" s="203"/>
    </row>
    <row r="33" ht="15.75" customHeight="1">
      <c r="A33" s="198"/>
      <c r="B33" s="198"/>
      <c r="C33" s="198"/>
      <c r="D33" s="198"/>
      <c r="E33" s="198"/>
      <c r="F33" s="198"/>
      <c r="G33" s="199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9"/>
      <c r="AA33" s="199"/>
      <c r="AB33" s="199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</row>
    <row r="34" ht="15.75" customHeight="1">
      <c r="A34" s="198"/>
      <c r="B34" s="198"/>
      <c r="C34" s="198"/>
      <c r="D34" s="198"/>
      <c r="E34" s="198"/>
      <c r="F34" s="198"/>
      <c r="G34" s="199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9"/>
      <c r="AA34" s="199"/>
      <c r="AB34" s="199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</row>
    <row r="35" ht="15.75" customHeight="1">
      <c r="A35" s="198"/>
      <c r="B35" s="198"/>
      <c r="C35" s="198"/>
      <c r="D35" s="198"/>
      <c r="E35" s="198"/>
      <c r="F35" s="198"/>
      <c r="G35" s="199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9"/>
      <c r="AA35" s="199"/>
      <c r="AB35" s="199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</row>
    <row r="36" ht="15.75" customHeight="1">
      <c r="A36" s="198"/>
      <c r="B36" s="198"/>
      <c r="C36" s="198"/>
      <c r="D36" s="198"/>
      <c r="E36" s="198"/>
      <c r="F36" s="198"/>
      <c r="G36" s="199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9"/>
      <c r="AA36" s="199"/>
      <c r="AB36" s="199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</row>
    <row r="37" ht="15.75" customHeight="1">
      <c r="A37" s="198"/>
      <c r="B37" s="198"/>
      <c r="C37" s="198"/>
      <c r="D37" s="198"/>
      <c r="E37" s="198"/>
      <c r="F37" s="198"/>
      <c r="G37" s="199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9"/>
      <c r="AA37" s="199"/>
      <c r="AB37" s="199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</row>
    <row r="38" ht="15.75" customHeight="1">
      <c r="A38" s="198"/>
      <c r="B38" s="198"/>
      <c r="C38" s="198"/>
      <c r="D38" s="198"/>
      <c r="E38" s="198"/>
      <c r="F38" s="198"/>
      <c r="G38" s="199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9"/>
      <c r="AA38" s="199"/>
      <c r="AB38" s="199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</row>
    <row r="39" ht="15.75" customHeight="1">
      <c r="A39" s="198"/>
      <c r="B39" s="198"/>
      <c r="C39" s="198"/>
      <c r="D39" s="198"/>
      <c r="E39" s="198"/>
      <c r="F39" s="198"/>
      <c r="G39" s="199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9"/>
      <c r="AA39" s="199"/>
      <c r="AB39" s="199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</row>
    <row r="40" ht="15.75" customHeight="1">
      <c r="A40" s="198"/>
      <c r="B40" s="198"/>
      <c r="C40" s="198"/>
      <c r="D40" s="198"/>
      <c r="E40" s="198"/>
      <c r="F40" s="198"/>
      <c r="G40" s="199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9"/>
      <c r="AA40" s="199"/>
      <c r="AB40" s="199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</row>
    <row r="41" ht="15.75" customHeight="1">
      <c r="A41" s="198"/>
      <c r="B41" s="198"/>
      <c r="C41" s="198"/>
      <c r="D41" s="198"/>
      <c r="E41" s="198"/>
      <c r="F41" s="198"/>
      <c r="G41" s="199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9"/>
      <c r="AA41" s="198"/>
      <c r="AB41" s="198"/>
      <c r="AC41" s="198"/>
      <c r="AD41" s="198"/>
      <c r="AE41" s="198"/>
      <c r="AF41" s="198"/>
      <c r="AG41" s="198"/>
      <c r="AH41" s="198"/>
      <c r="AI41" s="198"/>
      <c r="AJ41" s="198"/>
      <c r="AK41" s="198"/>
      <c r="AL41" s="198"/>
      <c r="AM41" s="198"/>
    </row>
    <row r="42" ht="15.75" customHeight="1">
      <c r="A42" s="198"/>
      <c r="B42" s="198"/>
      <c r="C42" s="198"/>
      <c r="D42" s="198"/>
      <c r="E42" s="198"/>
      <c r="F42" s="198"/>
      <c r="G42" s="199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9"/>
      <c r="AA42" s="198"/>
      <c r="AB42" s="198"/>
      <c r="AC42" s="198"/>
      <c r="AD42" s="198"/>
      <c r="AE42" s="198"/>
      <c r="AF42" s="198"/>
      <c r="AG42" s="198"/>
      <c r="AH42" s="198"/>
      <c r="AI42" s="198"/>
      <c r="AJ42" s="198"/>
      <c r="AK42" s="198"/>
      <c r="AL42" s="198"/>
      <c r="AM42" s="198"/>
    </row>
    <row r="43" ht="15.75" customHeight="1">
      <c r="A43" s="198"/>
      <c r="B43" s="198"/>
      <c r="C43" s="198"/>
      <c r="D43" s="198"/>
      <c r="E43" s="198"/>
      <c r="F43" s="198"/>
      <c r="G43" s="199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9"/>
      <c r="AA43" s="198"/>
      <c r="AB43" s="198"/>
      <c r="AC43" s="198"/>
      <c r="AD43" s="198"/>
      <c r="AE43" s="198"/>
      <c r="AF43" s="198"/>
      <c r="AG43" s="198"/>
      <c r="AH43" s="198"/>
      <c r="AI43" s="198"/>
      <c r="AJ43" s="198"/>
      <c r="AK43" s="198"/>
      <c r="AL43" s="198"/>
      <c r="AM43" s="198"/>
    </row>
    <row r="44" ht="15.75" customHeight="1">
      <c r="A44" s="198"/>
      <c r="B44" s="198"/>
      <c r="C44" s="198"/>
      <c r="D44" s="198"/>
      <c r="E44" s="198"/>
      <c r="F44" s="198"/>
      <c r="G44" s="199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9"/>
      <c r="AA44" s="198"/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  <c r="AM44" s="198"/>
    </row>
    <row r="45" ht="15.75" customHeight="1">
      <c r="A45" s="198"/>
      <c r="B45" s="198"/>
      <c r="C45" s="198"/>
      <c r="D45" s="198"/>
      <c r="E45" s="198"/>
      <c r="F45" s="198"/>
      <c r="G45" s="199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9"/>
      <c r="AA45" s="198"/>
      <c r="AB45" s="198"/>
      <c r="AC45" s="198"/>
      <c r="AD45" s="198"/>
      <c r="AE45" s="198"/>
      <c r="AF45" s="198"/>
      <c r="AG45" s="198"/>
      <c r="AH45" s="198"/>
      <c r="AI45" s="198"/>
      <c r="AJ45" s="198"/>
      <c r="AK45" s="198"/>
      <c r="AL45" s="198"/>
      <c r="AM45" s="198"/>
    </row>
    <row r="46" ht="15.75" customHeight="1">
      <c r="A46" s="198"/>
      <c r="B46" s="198"/>
      <c r="C46" s="198"/>
      <c r="D46" s="198"/>
      <c r="E46" s="198"/>
      <c r="F46" s="198"/>
      <c r="G46" s="199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9"/>
      <c r="AA46" s="198"/>
      <c r="AB46" s="198"/>
      <c r="AC46" s="198"/>
      <c r="AD46" s="198"/>
      <c r="AE46" s="198"/>
      <c r="AF46" s="198"/>
      <c r="AG46" s="198"/>
      <c r="AH46" s="198"/>
      <c r="AI46" s="198"/>
      <c r="AJ46" s="198"/>
      <c r="AK46" s="198"/>
      <c r="AL46" s="198"/>
      <c r="AM46" s="198"/>
    </row>
    <row r="47" ht="15.75" customHeight="1">
      <c r="A47" s="198"/>
      <c r="B47" s="198"/>
      <c r="C47" s="198"/>
      <c r="D47" s="198"/>
      <c r="E47" s="198"/>
      <c r="F47" s="198"/>
      <c r="G47" s="199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9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</row>
    <row r="48" ht="15.75" customHeight="1">
      <c r="A48" s="198"/>
      <c r="B48" s="198"/>
      <c r="C48" s="198"/>
      <c r="D48" s="198"/>
      <c r="E48" s="198"/>
      <c r="F48" s="198"/>
      <c r="G48" s="199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9"/>
      <c r="AA48" s="198"/>
      <c r="AB48" s="198"/>
      <c r="AC48" s="198"/>
      <c r="AD48" s="198"/>
      <c r="AE48" s="198"/>
      <c r="AF48" s="198"/>
      <c r="AG48" s="198"/>
      <c r="AH48" s="198"/>
      <c r="AI48" s="198"/>
      <c r="AJ48" s="198"/>
      <c r="AK48" s="198"/>
      <c r="AL48" s="198"/>
      <c r="AM48" s="198"/>
    </row>
    <row r="49" ht="15.75" customHeight="1">
      <c r="A49" s="198"/>
      <c r="B49" s="198"/>
      <c r="C49" s="198"/>
      <c r="D49" s="198"/>
      <c r="E49" s="198"/>
      <c r="F49" s="198"/>
      <c r="G49" s="199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9"/>
      <c r="AA49" s="198"/>
      <c r="AB49" s="198"/>
      <c r="AC49" s="198"/>
      <c r="AD49" s="198"/>
      <c r="AE49" s="198"/>
      <c r="AF49" s="198"/>
      <c r="AG49" s="198"/>
      <c r="AH49" s="198"/>
      <c r="AI49" s="198"/>
      <c r="AJ49" s="198"/>
      <c r="AK49" s="198"/>
      <c r="AL49" s="198"/>
      <c r="AM49" s="198"/>
    </row>
    <row r="50" ht="15.75" customHeight="1">
      <c r="A50" s="198"/>
      <c r="B50" s="198"/>
      <c r="C50" s="198"/>
      <c r="D50" s="198"/>
      <c r="E50" s="198"/>
      <c r="F50" s="198"/>
      <c r="G50" s="199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9"/>
      <c r="AA50" s="198"/>
      <c r="AB50" s="198"/>
      <c r="AC50" s="198"/>
      <c r="AD50" s="198"/>
      <c r="AE50" s="198"/>
      <c r="AF50" s="198"/>
      <c r="AG50" s="198"/>
      <c r="AH50" s="198"/>
      <c r="AI50" s="198"/>
      <c r="AJ50" s="198"/>
      <c r="AK50" s="198"/>
      <c r="AL50" s="198"/>
      <c r="AM50" s="198"/>
    </row>
    <row r="51" ht="15.75" customHeight="1">
      <c r="A51" s="198"/>
      <c r="B51" s="198"/>
      <c r="C51" s="198"/>
      <c r="D51" s="198"/>
      <c r="E51" s="198"/>
      <c r="F51" s="198"/>
      <c r="G51" s="199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9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</row>
    <row r="52" ht="15.75" customHeight="1">
      <c r="A52" s="198"/>
      <c r="B52" s="198"/>
      <c r="C52" s="198"/>
      <c r="D52" s="198"/>
      <c r="E52" s="198"/>
      <c r="F52" s="198"/>
      <c r="G52" s="199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9"/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</row>
    <row r="53" ht="15.75" customHeight="1">
      <c r="A53" s="198"/>
      <c r="B53" s="198"/>
      <c r="C53" s="198"/>
      <c r="D53" s="198"/>
      <c r="E53" s="198"/>
      <c r="F53" s="198"/>
      <c r="G53" s="199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9"/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</row>
    <row r="54" ht="15.75" customHeight="1">
      <c r="A54" s="198"/>
      <c r="B54" s="198"/>
      <c r="C54" s="198"/>
      <c r="D54" s="198"/>
      <c r="E54" s="198"/>
      <c r="F54" s="198"/>
      <c r="G54" s="199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9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</row>
    <row r="55" ht="15.75" customHeight="1">
      <c r="A55" s="198"/>
      <c r="B55" s="198"/>
      <c r="C55" s="198"/>
      <c r="D55" s="198"/>
      <c r="E55" s="198"/>
      <c r="F55" s="198"/>
      <c r="G55" s="199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9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</row>
    <row r="56" ht="15.75" customHeight="1">
      <c r="A56" s="198"/>
      <c r="B56" s="198"/>
      <c r="C56" s="198"/>
      <c r="D56" s="198"/>
      <c r="E56" s="198"/>
      <c r="F56" s="198"/>
      <c r="G56" s="199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9"/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</row>
    <row r="57" ht="15.75" customHeight="1">
      <c r="A57" s="198"/>
      <c r="B57" s="198"/>
      <c r="C57" s="198"/>
      <c r="D57" s="198"/>
      <c r="E57" s="198"/>
      <c r="F57" s="198"/>
      <c r="G57" s="199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9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</row>
    <row r="58" ht="15.75" customHeight="1">
      <c r="A58" s="198"/>
      <c r="B58" s="198"/>
      <c r="C58" s="198"/>
      <c r="D58" s="198"/>
      <c r="E58" s="198"/>
      <c r="F58" s="198"/>
      <c r="G58" s="199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9"/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</row>
    <row r="59" ht="15.75" customHeight="1">
      <c r="A59" s="198"/>
      <c r="B59" s="198"/>
      <c r="C59" s="198"/>
      <c r="D59" s="198"/>
      <c r="E59" s="198"/>
      <c r="F59" s="198"/>
      <c r="G59" s="199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9"/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</row>
    <row r="60" ht="15.75" customHeight="1">
      <c r="A60" s="198"/>
      <c r="B60" s="198"/>
      <c r="C60" s="198"/>
      <c r="D60" s="198"/>
      <c r="E60" s="198"/>
      <c r="F60" s="198"/>
      <c r="G60" s="199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9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</row>
    <row r="61" ht="15.75" customHeight="1">
      <c r="A61" s="198"/>
      <c r="B61" s="198"/>
      <c r="C61" s="198"/>
      <c r="D61" s="198"/>
      <c r="E61" s="198"/>
      <c r="F61" s="198"/>
      <c r="G61" s="199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9"/>
      <c r="AA61" s="198"/>
      <c r="AB61" s="198"/>
      <c r="AC61" s="198"/>
      <c r="AD61" s="198"/>
      <c r="AE61" s="198"/>
      <c r="AF61" s="198"/>
      <c r="AG61" s="198"/>
      <c r="AH61" s="198"/>
      <c r="AI61" s="198"/>
      <c r="AJ61" s="198"/>
      <c r="AK61" s="198"/>
      <c r="AL61" s="198"/>
      <c r="AM61" s="198"/>
    </row>
    <row r="62" ht="15.75" customHeight="1">
      <c r="A62" s="198"/>
      <c r="B62" s="198"/>
      <c r="C62" s="198"/>
      <c r="D62" s="198"/>
      <c r="E62" s="198"/>
      <c r="F62" s="198"/>
      <c r="G62" s="199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9"/>
      <c r="AA62" s="198"/>
      <c r="AB62" s="198"/>
      <c r="AC62" s="198"/>
      <c r="AD62" s="198"/>
      <c r="AE62" s="198"/>
      <c r="AF62" s="198"/>
      <c r="AG62" s="198"/>
      <c r="AH62" s="198"/>
      <c r="AI62" s="198"/>
      <c r="AJ62" s="198"/>
      <c r="AK62" s="198"/>
      <c r="AL62" s="198"/>
      <c r="AM62" s="198"/>
    </row>
    <row r="63" ht="15.75" customHeight="1">
      <c r="A63" s="198"/>
      <c r="B63" s="198"/>
      <c r="C63" s="198"/>
      <c r="D63" s="198"/>
      <c r="E63" s="198"/>
      <c r="F63" s="198"/>
      <c r="G63" s="199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9"/>
      <c r="AA63" s="198"/>
      <c r="AB63" s="198"/>
      <c r="AC63" s="198"/>
      <c r="AD63" s="198"/>
      <c r="AE63" s="198"/>
      <c r="AF63" s="198"/>
      <c r="AG63" s="198"/>
      <c r="AH63" s="198"/>
      <c r="AI63" s="198"/>
      <c r="AJ63" s="198"/>
      <c r="AK63" s="198"/>
      <c r="AL63" s="198"/>
      <c r="AM63" s="198"/>
    </row>
    <row r="64" ht="15.75" customHeight="1">
      <c r="A64" s="198"/>
      <c r="B64" s="198"/>
      <c r="C64" s="198"/>
      <c r="D64" s="198"/>
      <c r="E64" s="198"/>
      <c r="F64" s="198"/>
      <c r="G64" s="199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9"/>
      <c r="AA64" s="198"/>
      <c r="AB64" s="198"/>
      <c r="AC64" s="198"/>
      <c r="AD64" s="198"/>
      <c r="AE64" s="198"/>
      <c r="AF64" s="198"/>
      <c r="AG64" s="198"/>
      <c r="AH64" s="198"/>
      <c r="AI64" s="198"/>
      <c r="AJ64" s="198"/>
      <c r="AK64" s="198"/>
      <c r="AL64" s="198"/>
      <c r="AM64" s="198"/>
    </row>
    <row r="65" ht="15.75" customHeight="1">
      <c r="A65" s="198"/>
      <c r="B65" s="198"/>
      <c r="C65" s="198"/>
      <c r="D65" s="198"/>
      <c r="E65" s="198"/>
      <c r="F65" s="198"/>
      <c r="G65" s="199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9"/>
      <c r="AA65" s="198"/>
      <c r="AB65" s="198"/>
      <c r="AC65" s="198"/>
      <c r="AD65" s="198"/>
      <c r="AE65" s="198"/>
      <c r="AF65" s="198"/>
      <c r="AG65" s="198"/>
      <c r="AH65" s="198"/>
      <c r="AI65" s="198"/>
      <c r="AJ65" s="198"/>
      <c r="AK65" s="198"/>
      <c r="AL65" s="198"/>
      <c r="AM65" s="198"/>
    </row>
    <row r="66" ht="15.75" customHeight="1">
      <c r="A66" s="198"/>
      <c r="B66" s="198"/>
      <c r="C66" s="198"/>
      <c r="D66" s="198"/>
      <c r="E66" s="198"/>
      <c r="F66" s="198"/>
      <c r="G66" s="199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9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  <c r="AK66" s="198"/>
      <c r="AL66" s="198"/>
      <c r="AM66" s="198"/>
    </row>
    <row r="67" ht="15.75" customHeight="1">
      <c r="A67" s="198"/>
      <c r="B67" s="198"/>
      <c r="C67" s="198"/>
      <c r="D67" s="198"/>
      <c r="E67" s="198"/>
      <c r="F67" s="198"/>
      <c r="G67" s="199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9"/>
      <c r="AA67" s="198"/>
      <c r="AB67" s="198"/>
      <c r="AC67" s="198"/>
      <c r="AD67" s="198"/>
      <c r="AE67" s="198"/>
      <c r="AF67" s="198"/>
      <c r="AG67" s="198"/>
      <c r="AH67" s="198"/>
      <c r="AI67" s="198"/>
      <c r="AJ67" s="198"/>
      <c r="AK67" s="198"/>
      <c r="AL67" s="198"/>
      <c r="AM67" s="198"/>
    </row>
    <row r="68" ht="15.75" customHeight="1">
      <c r="A68" s="198"/>
      <c r="B68" s="198"/>
      <c r="C68" s="198"/>
      <c r="D68" s="198"/>
      <c r="E68" s="198"/>
      <c r="F68" s="198"/>
      <c r="G68" s="199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9"/>
      <c r="AA68" s="198"/>
      <c r="AB68" s="198"/>
      <c r="AC68" s="198"/>
      <c r="AD68" s="198"/>
      <c r="AE68" s="198"/>
      <c r="AF68" s="198"/>
      <c r="AG68" s="198"/>
      <c r="AH68" s="198"/>
      <c r="AI68" s="198"/>
      <c r="AJ68" s="198"/>
      <c r="AK68" s="198"/>
      <c r="AL68" s="198"/>
      <c r="AM68" s="198"/>
    </row>
    <row r="69" ht="15.75" customHeight="1">
      <c r="A69" s="198"/>
      <c r="B69" s="198"/>
      <c r="C69" s="198"/>
      <c r="D69" s="198"/>
      <c r="E69" s="198"/>
      <c r="F69" s="198"/>
      <c r="G69" s="199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9"/>
      <c r="AA69" s="198"/>
      <c r="AB69" s="198"/>
      <c r="AC69" s="198"/>
      <c r="AD69" s="198"/>
      <c r="AE69" s="198"/>
      <c r="AF69" s="198"/>
      <c r="AG69" s="198"/>
      <c r="AH69" s="198"/>
      <c r="AI69" s="198"/>
      <c r="AJ69" s="198"/>
      <c r="AK69" s="198"/>
      <c r="AL69" s="198"/>
      <c r="AM69" s="198"/>
    </row>
    <row r="70" ht="15.75" customHeight="1">
      <c r="A70" s="198"/>
      <c r="B70" s="198"/>
      <c r="C70" s="198"/>
      <c r="D70" s="198"/>
      <c r="E70" s="198"/>
      <c r="F70" s="198"/>
      <c r="G70" s="199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9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  <c r="AM70" s="198"/>
    </row>
    <row r="71" ht="15.75" customHeight="1">
      <c r="A71" s="198"/>
      <c r="B71" s="198"/>
      <c r="C71" s="198"/>
      <c r="D71" s="198"/>
      <c r="E71" s="198"/>
      <c r="F71" s="198"/>
      <c r="G71" s="199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9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</row>
    <row r="72" ht="15.75" customHeight="1">
      <c r="A72" s="198"/>
      <c r="B72" s="198"/>
      <c r="C72" s="198"/>
      <c r="D72" s="198"/>
      <c r="E72" s="198"/>
      <c r="F72" s="198"/>
      <c r="G72" s="199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9"/>
      <c r="AA72" s="198"/>
      <c r="AB72" s="198"/>
      <c r="AC72" s="198"/>
      <c r="AD72" s="198"/>
      <c r="AE72" s="198"/>
      <c r="AF72" s="198"/>
      <c r="AG72" s="198"/>
      <c r="AH72" s="198"/>
      <c r="AI72" s="198"/>
      <c r="AJ72" s="198"/>
      <c r="AK72" s="198"/>
      <c r="AL72" s="198"/>
      <c r="AM72" s="198"/>
    </row>
    <row r="73" ht="15.75" customHeight="1">
      <c r="A73" s="198"/>
      <c r="B73" s="198"/>
      <c r="C73" s="198"/>
      <c r="D73" s="198"/>
      <c r="E73" s="198"/>
      <c r="F73" s="198"/>
      <c r="G73" s="199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9"/>
      <c r="AA73" s="198"/>
      <c r="AB73" s="198"/>
      <c r="AC73" s="198"/>
      <c r="AD73" s="198"/>
      <c r="AE73" s="198"/>
      <c r="AF73" s="198"/>
      <c r="AG73" s="198"/>
      <c r="AH73" s="198"/>
      <c r="AI73" s="198"/>
      <c r="AJ73" s="198"/>
      <c r="AK73" s="198"/>
      <c r="AL73" s="198"/>
      <c r="AM73" s="198"/>
    </row>
    <row r="74" ht="15.75" customHeight="1">
      <c r="A74" s="198"/>
      <c r="B74" s="198"/>
      <c r="C74" s="198"/>
      <c r="D74" s="198"/>
      <c r="E74" s="198"/>
      <c r="F74" s="198"/>
      <c r="G74" s="199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9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198"/>
      <c r="AL74" s="198"/>
      <c r="AM74" s="198"/>
    </row>
    <row r="75" ht="15.75" customHeight="1">
      <c r="A75" s="198"/>
      <c r="B75" s="198"/>
      <c r="C75" s="198"/>
      <c r="D75" s="198"/>
      <c r="E75" s="198"/>
      <c r="F75" s="198"/>
      <c r="G75" s="199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9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8"/>
      <c r="AM75" s="198"/>
    </row>
    <row r="76" ht="15.75" customHeight="1">
      <c r="A76" s="198"/>
      <c r="B76" s="198"/>
      <c r="C76" s="198"/>
      <c r="D76" s="198"/>
      <c r="E76" s="198"/>
      <c r="F76" s="198"/>
      <c r="G76" s="199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9"/>
      <c r="AA76" s="198"/>
      <c r="AB76" s="198"/>
      <c r="AC76" s="198"/>
      <c r="AD76" s="198"/>
      <c r="AE76" s="198"/>
      <c r="AF76" s="198"/>
      <c r="AG76" s="198"/>
      <c r="AH76" s="198"/>
      <c r="AI76" s="198"/>
      <c r="AJ76" s="198"/>
      <c r="AK76" s="198"/>
      <c r="AL76" s="198"/>
      <c r="AM76" s="198"/>
    </row>
    <row r="77" ht="15.75" customHeight="1">
      <c r="A77" s="198"/>
      <c r="B77" s="198"/>
      <c r="C77" s="198"/>
      <c r="D77" s="198"/>
      <c r="E77" s="198"/>
      <c r="F77" s="198"/>
      <c r="G77" s="199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9"/>
      <c r="AA77" s="198"/>
      <c r="AB77" s="198"/>
      <c r="AC77" s="198"/>
      <c r="AD77" s="198"/>
      <c r="AE77" s="198"/>
      <c r="AF77" s="198"/>
      <c r="AG77" s="198"/>
      <c r="AH77" s="198"/>
      <c r="AI77" s="198"/>
      <c r="AJ77" s="198"/>
      <c r="AK77" s="198"/>
      <c r="AL77" s="198"/>
      <c r="AM77" s="198"/>
    </row>
    <row r="78" ht="15.75" customHeight="1">
      <c r="A78" s="198"/>
      <c r="B78" s="198"/>
      <c r="C78" s="198"/>
      <c r="D78" s="198"/>
      <c r="E78" s="198"/>
      <c r="F78" s="198"/>
      <c r="G78" s="199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9"/>
      <c r="AA78" s="198"/>
      <c r="AB78" s="198"/>
      <c r="AC78" s="198"/>
      <c r="AD78" s="198"/>
      <c r="AE78" s="198"/>
      <c r="AF78" s="198"/>
      <c r="AG78" s="198"/>
      <c r="AH78" s="198"/>
      <c r="AI78" s="198"/>
      <c r="AJ78" s="198"/>
      <c r="AK78" s="198"/>
      <c r="AL78" s="198"/>
      <c r="AM78" s="198"/>
    </row>
    <row r="79" ht="15.75" customHeight="1">
      <c r="A79" s="198"/>
      <c r="B79" s="198"/>
      <c r="C79" s="198"/>
      <c r="D79" s="198"/>
      <c r="E79" s="198"/>
      <c r="F79" s="198"/>
      <c r="G79" s="199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9"/>
      <c r="AA79" s="198"/>
      <c r="AB79" s="198"/>
      <c r="AC79" s="198"/>
      <c r="AD79" s="198"/>
      <c r="AE79" s="198"/>
      <c r="AF79" s="198"/>
      <c r="AG79" s="198"/>
      <c r="AH79" s="198"/>
      <c r="AI79" s="198"/>
      <c r="AJ79" s="198"/>
      <c r="AK79" s="198"/>
      <c r="AL79" s="198"/>
      <c r="AM79" s="198"/>
    </row>
    <row r="80" ht="15.75" customHeight="1">
      <c r="A80" s="198"/>
      <c r="B80" s="198"/>
      <c r="C80" s="198"/>
      <c r="D80" s="198"/>
      <c r="E80" s="198"/>
      <c r="F80" s="198"/>
      <c r="G80" s="199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9"/>
      <c r="AA80" s="198"/>
      <c r="AB80" s="198"/>
      <c r="AC80" s="198"/>
      <c r="AD80" s="198"/>
      <c r="AE80" s="198"/>
      <c r="AF80" s="198"/>
      <c r="AG80" s="198"/>
      <c r="AH80" s="198"/>
      <c r="AI80" s="198"/>
      <c r="AJ80" s="198"/>
      <c r="AK80" s="198"/>
      <c r="AL80" s="198"/>
      <c r="AM80" s="198"/>
    </row>
    <row r="81" ht="15.75" customHeight="1">
      <c r="A81" s="198"/>
      <c r="B81" s="198"/>
      <c r="C81" s="198"/>
      <c r="D81" s="198"/>
      <c r="E81" s="198"/>
      <c r="F81" s="198"/>
      <c r="G81" s="199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9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</row>
    <row r="82" ht="15.75" customHeight="1">
      <c r="A82" s="198"/>
      <c r="B82" s="198"/>
      <c r="C82" s="198"/>
      <c r="D82" s="198"/>
      <c r="E82" s="198"/>
      <c r="F82" s="198"/>
      <c r="G82" s="199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9"/>
      <c r="AA82" s="198"/>
      <c r="AB82" s="198"/>
      <c r="AC82" s="198"/>
      <c r="AD82" s="198"/>
      <c r="AE82" s="198"/>
      <c r="AF82" s="198"/>
      <c r="AG82" s="198"/>
      <c r="AH82" s="198"/>
      <c r="AI82" s="198"/>
      <c r="AJ82" s="198"/>
      <c r="AK82" s="198"/>
      <c r="AL82" s="198"/>
      <c r="AM82" s="198"/>
    </row>
    <row r="83" ht="15.75" customHeight="1">
      <c r="A83" s="198"/>
      <c r="B83" s="198"/>
      <c r="C83" s="198"/>
      <c r="D83" s="198"/>
      <c r="E83" s="198"/>
      <c r="F83" s="198"/>
      <c r="G83" s="199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9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</row>
    <row r="84" ht="15.75" customHeight="1">
      <c r="A84" s="198"/>
      <c r="B84" s="198"/>
      <c r="C84" s="198"/>
      <c r="D84" s="198"/>
      <c r="E84" s="198"/>
      <c r="F84" s="198"/>
      <c r="G84" s="199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9"/>
      <c r="AA84" s="198"/>
      <c r="AB84" s="198"/>
      <c r="AC84" s="198"/>
      <c r="AD84" s="198"/>
      <c r="AE84" s="198"/>
      <c r="AF84" s="198"/>
      <c r="AG84" s="198"/>
      <c r="AH84" s="198"/>
      <c r="AI84" s="198"/>
      <c r="AJ84" s="198"/>
      <c r="AK84" s="198"/>
      <c r="AL84" s="198"/>
      <c r="AM84" s="198"/>
    </row>
    <row r="85" ht="15.75" customHeight="1">
      <c r="A85" s="198"/>
      <c r="B85" s="198"/>
      <c r="C85" s="198"/>
      <c r="D85" s="198"/>
      <c r="E85" s="198"/>
      <c r="F85" s="198"/>
      <c r="G85" s="199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9"/>
      <c r="AA85" s="198"/>
      <c r="AB85" s="198"/>
      <c r="AC85" s="198"/>
      <c r="AD85" s="198"/>
      <c r="AE85" s="198"/>
      <c r="AF85" s="198"/>
      <c r="AG85" s="198"/>
      <c r="AH85" s="198"/>
      <c r="AI85" s="198"/>
      <c r="AJ85" s="198"/>
      <c r="AK85" s="198"/>
      <c r="AL85" s="198"/>
      <c r="AM85" s="198"/>
    </row>
    <row r="86" ht="15.75" customHeight="1">
      <c r="A86" s="198"/>
      <c r="B86" s="198"/>
      <c r="C86" s="198"/>
      <c r="D86" s="198"/>
      <c r="E86" s="198"/>
      <c r="F86" s="198"/>
      <c r="G86" s="199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9"/>
      <c r="AA86" s="198"/>
      <c r="AB86" s="198"/>
      <c r="AC86" s="198"/>
      <c r="AD86" s="198"/>
      <c r="AE86" s="198"/>
      <c r="AF86" s="198"/>
      <c r="AG86" s="198"/>
      <c r="AH86" s="198"/>
      <c r="AI86" s="198"/>
      <c r="AJ86" s="198"/>
      <c r="AK86" s="198"/>
      <c r="AL86" s="198"/>
      <c r="AM86" s="198"/>
    </row>
    <row r="87" ht="15.75" customHeight="1">
      <c r="A87" s="198"/>
      <c r="B87" s="198"/>
      <c r="C87" s="198"/>
      <c r="D87" s="198"/>
      <c r="E87" s="198"/>
      <c r="F87" s="198"/>
      <c r="G87" s="199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9"/>
      <c r="AA87" s="198"/>
      <c r="AB87" s="198"/>
      <c r="AC87" s="198"/>
      <c r="AD87" s="198"/>
      <c r="AE87" s="198"/>
      <c r="AF87" s="198"/>
      <c r="AG87" s="198"/>
      <c r="AH87" s="198"/>
      <c r="AI87" s="198"/>
      <c r="AJ87" s="198"/>
      <c r="AK87" s="198"/>
      <c r="AL87" s="198"/>
      <c r="AM87" s="198"/>
    </row>
    <row r="88" ht="15.75" customHeight="1">
      <c r="A88" s="198"/>
      <c r="B88" s="198"/>
      <c r="C88" s="198"/>
      <c r="D88" s="198"/>
      <c r="E88" s="198"/>
      <c r="F88" s="198"/>
      <c r="G88" s="199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9"/>
      <c r="AA88" s="198"/>
      <c r="AB88" s="198"/>
      <c r="AC88" s="198"/>
      <c r="AD88" s="198"/>
      <c r="AE88" s="198"/>
      <c r="AF88" s="198"/>
      <c r="AG88" s="198"/>
      <c r="AH88" s="198"/>
      <c r="AI88" s="198"/>
      <c r="AJ88" s="198"/>
      <c r="AK88" s="198"/>
      <c r="AL88" s="198"/>
      <c r="AM88" s="198"/>
    </row>
    <row r="89" ht="15.75" customHeight="1">
      <c r="A89" s="198"/>
      <c r="B89" s="198"/>
      <c r="C89" s="198"/>
      <c r="D89" s="198"/>
      <c r="E89" s="198"/>
      <c r="F89" s="198"/>
      <c r="G89" s="199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9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</row>
    <row r="90" ht="15.75" customHeight="1">
      <c r="A90" s="198"/>
      <c r="B90" s="198"/>
      <c r="C90" s="198"/>
      <c r="D90" s="198"/>
      <c r="E90" s="198"/>
      <c r="F90" s="198"/>
      <c r="G90" s="199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9"/>
      <c r="AA90" s="198"/>
      <c r="AB90" s="198"/>
      <c r="AC90" s="198"/>
      <c r="AD90" s="198"/>
      <c r="AE90" s="198"/>
      <c r="AF90" s="198"/>
      <c r="AG90" s="198"/>
      <c r="AH90" s="198"/>
      <c r="AI90" s="198"/>
      <c r="AJ90" s="198"/>
      <c r="AK90" s="198"/>
      <c r="AL90" s="198"/>
      <c r="AM90" s="198"/>
    </row>
    <row r="91" ht="15.75" customHeight="1">
      <c r="A91" s="198"/>
      <c r="B91" s="198"/>
      <c r="C91" s="198"/>
      <c r="D91" s="198"/>
      <c r="E91" s="198"/>
      <c r="F91" s="198"/>
      <c r="G91" s="199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9"/>
      <c r="AA91" s="198"/>
      <c r="AB91" s="198"/>
      <c r="AC91" s="198"/>
      <c r="AD91" s="198"/>
      <c r="AE91" s="198"/>
      <c r="AF91" s="198"/>
      <c r="AG91" s="198"/>
      <c r="AH91" s="198"/>
      <c r="AI91" s="198"/>
      <c r="AJ91" s="198"/>
      <c r="AK91" s="198"/>
      <c r="AL91" s="198"/>
      <c r="AM91" s="198"/>
    </row>
    <row r="92" ht="15.75" customHeight="1">
      <c r="A92" s="198"/>
      <c r="B92" s="198"/>
      <c r="C92" s="198"/>
      <c r="D92" s="198"/>
      <c r="E92" s="198"/>
      <c r="F92" s="198"/>
      <c r="G92" s="199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9"/>
      <c r="AA92" s="198"/>
      <c r="AB92" s="198"/>
      <c r="AC92" s="198"/>
      <c r="AD92" s="198"/>
      <c r="AE92" s="198"/>
      <c r="AF92" s="198"/>
      <c r="AG92" s="198"/>
      <c r="AH92" s="198"/>
      <c r="AI92" s="198"/>
      <c r="AJ92" s="198"/>
      <c r="AK92" s="198"/>
      <c r="AL92" s="198"/>
      <c r="AM92" s="198"/>
    </row>
    <row r="93" ht="15.75" customHeight="1">
      <c r="A93" s="198"/>
      <c r="B93" s="198"/>
      <c r="C93" s="198"/>
      <c r="D93" s="198"/>
      <c r="E93" s="198"/>
      <c r="F93" s="198"/>
      <c r="G93" s="199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9"/>
      <c r="AA93" s="198"/>
      <c r="AB93" s="198"/>
      <c r="AC93" s="198"/>
      <c r="AD93" s="198"/>
      <c r="AE93" s="198"/>
      <c r="AF93" s="198"/>
      <c r="AG93" s="198"/>
      <c r="AH93" s="198"/>
      <c r="AI93" s="198"/>
      <c r="AJ93" s="198"/>
      <c r="AK93" s="198"/>
      <c r="AL93" s="198"/>
      <c r="AM93" s="198"/>
    </row>
    <row r="94" ht="15.75" customHeight="1">
      <c r="A94" s="198"/>
      <c r="B94" s="198"/>
      <c r="C94" s="198"/>
      <c r="D94" s="198"/>
      <c r="E94" s="198"/>
      <c r="F94" s="198"/>
      <c r="G94" s="199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9"/>
      <c r="AA94" s="198"/>
      <c r="AB94" s="198"/>
      <c r="AC94" s="198"/>
      <c r="AD94" s="198"/>
      <c r="AE94" s="198"/>
      <c r="AF94" s="198"/>
      <c r="AG94" s="198"/>
      <c r="AH94" s="198"/>
      <c r="AI94" s="198"/>
      <c r="AJ94" s="198"/>
      <c r="AK94" s="198"/>
      <c r="AL94" s="198"/>
      <c r="AM94" s="198"/>
    </row>
    <row r="95" ht="15.75" customHeight="1">
      <c r="A95" s="198"/>
      <c r="B95" s="198"/>
      <c r="C95" s="198"/>
      <c r="D95" s="198"/>
      <c r="E95" s="198"/>
      <c r="F95" s="198"/>
      <c r="G95" s="199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9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</row>
    <row r="96" ht="15.75" customHeight="1">
      <c r="A96" s="198"/>
      <c r="B96" s="198"/>
      <c r="C96" s="198"/>
      <c r="D96" s="198"/>
      <c r="E96" s="198"/>
      <c r="F96" s="198"/>
      <c r="G96" s="199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9"/>
      <c r="AA96" s="198"/>
      <c r="AB96" s="198"/>
      <c r="AC96" s="198"/>
      <c r="AD96" s="198"/>
      <c r="AE96" s="198"/>
      <c r="AF96" s="198"/>
      <c r="AG96" s="198"/>
      <c r="AH96" s="198"/>
      <c r="AI96" s="198"/>
      <c r="AJ96" s="198"/>
      <c r="AK96" s="198"/>
      <c r="AL96" s="198"/>
      <c r="AM96" s="198"/>
    </row>
    <row r="97" ht="15.75" customHeight="1">
      <c r="A97" s="198"/>
      <c r="B97" s="198"/>
      <c r="C97" s="198"/>
      <c r="D97" s="198"/>
      <c r="E97" s="198"/>
      <c r="F97" s="198"/>
      <c r="G97" s="199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9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</row>
    <row r="98" ht="15.75" customHeight="1">
      <c r="A98" s="198"/>
      <c r="B98" s="198"/>
      <c r="C98" s="198"/>
      <c r="D98" s="198"/>
      <c r="E98" s="198"/>
      <c r="F98" s="198"/>
      <c r="G98" s="199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9"/>
      <c r="AA98" s="198"/>
      <c r="AB98" s="198"/>
      <c r="AC98" s="198"/>
      <c r="AD98" s="198"/>
      <c r="AE98" s="198"/>
      <c r="AF98" s="198"/>
      <c r="AG98" s="198"/>
      <c r="AH98" s="198"/>
      <c r="AI98" s="198"/>
      <c r="AJ98" s="198"/>
      <c r="AK98" s="198"/>
      <c r="AL98" s="198"/>
      <c r="AM98" s="198"/>
    </row>
    <row r="99" ht="15.75" customHeight="1">
      <c r="A99" s="198"/>
      <c r="B99" s="198"/>
      <c r="C99" s="198"/>
      <c r="D99" s="198"/>
      <c r="E99" s="198"/>
      <c r="F99" s="198"/>
      <c r="G99" s="199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9"/>
      <c r="AA99" s="198"/>
      <c r="AB99" s="198"/>
      <c r="AC99" s="198"/>
      <c r="AD99" s="198"/>
      <c r="AE99" s="198"/>
      <c r="AF99" s="198"/>
      <c r="AG99" s="198"/>
      <c r="AH99" s="198"/>
      <c r="AI99" s="198"/>
      <c r="AJ99" s="198"/>
      <c r="AK99" s="198"/>
      <c r="AL99" s="198"/>
      <c r="AM99" s="198"/>
    </row>
    <row r="100" ht="15.75" customHeight="1">
      <c r="A100" s="198"/>
      <c r="B100" s="198"/>
      <c r="C100" s="198"/>
      <c r="D100" s="198"/>
      <c r="E100" s="198"/>
      <c r="F100" s="198"/>
      <c r="G100" s="199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9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</row>
    <row r="101" ht="15.75" customHeight="1">
      <c r="A101" s="198"/>
      <c r="B101" s="198"/>
      <c r="C101" s="198"/>
      <c r="D101" s="198"/>
      <c r="E101" s="198"/>
      <c r="F101" s="198"/>
      <c r="G101" s="199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9"/>
      <c r="AA101" s="198"/>
      <c r="AB101" s="198"/>
      <c r="AC101" s="198"/>
      <c r="AD101" s="198"/>
      <c r="AE101" s="198"/>
      <c r="AF101" s="198"/>
      <c r="AG101" s="198"/>
      <c r="AH101" s="198"/>
      <c r="AI101" s="198"/>
      <c r="AJ101" s="198"/>
      <c r="AK101" s="198"/>
      <c r="AL101" s="198"/>
      <c r="AM101" s="198"/>
    </row>
    <row r="102" ht="15.75" customHeight="1">
      <c r="A102" s="198"/>
      <c r="B102" s="198"/>
      <c r="C102" s="198"/>
      <c r="D102" s="198"/>
      <c r="E102" s="198"/>
      <c r="F102" s="198"/>
      <c r="G102" s="199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9"/>
      <c r="AA102" s="198"/>
      <c r="AB102" s="198"/>
      <c r="AC102" s="198"/>
      <c r="AD102" s="198"/>
      <c r="AE102" s="198"/>
      <c r="AF102" s="198"/>
      <c r="AG102" s="198"/>
      <c r="AH102" s="198"/>
      <c r="AI102" s="198"/>
      <c r="AJ102" s="198"/>
      <c r="AK102" s="198"/>
      <c r="AL102" s="198"/>
      <c r="AM102" s="198"/>
    </row>
    <row r="103" ht="15.75" customHeight="1">
      <c r="A103" s="198"/>
      <c r="B103" s="198"/>
      <c r="C103" s="198"/>
      <c r="D103" s="198"/>
      <c r="E103" s="198"/>
      <c r="F103" s="198"/>
      <c r="G103" s="199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9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</row>
    <row r="104" ht="15.75" customHeight="1">
      <c r="A104" s="198"/>
      <c r="B104" s="198"/>
      <c r="C104" s="198"/>
      <c r="D104" s="198"/>
      <c r="E104" s="198"/>
      <c r="F104" s="198"/>
      <c r="G104" s="199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9"/>
      <c r="AA104" s="198"/>
      <c r="AB104" s="198"/>
      <c r="AC104" s="198"/>
      <c r="AD104" s="198"/>
      <c r="AE104" s="198"/>
      <c r="AF104" s="198"/>
      <c r="AG104" s="198"/>
      <c r="AH104" s="198"/>
      <c r="AI104" s="198"/>
      <c r="AJ104" s="198"/>
      <c r="AK104" s="198"/>
      <c r="AL104" s="198"/>
      <c r="AM104" s="198"/>
    </row>
    <row r="105" ht="15.75" customHeight="1">
      <c r="A105" s="198"/>
      <c r="B105" s="198"/>
      <c r="C105" s="198"/>
      <c r="D105" s="198"/>
      <c r="E105" s="198"/>
      <c r="F105" s="198"/>
      <c r="G105" s="199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9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</row>
    <row r="106" ht="15.75" customHeight="1">
      <c r="A106" s="198"/>
      <c r="B106" s="198"/>
      <c r="C106" s="198"/>
      <c r="D106" s="198"/>
      <c r="E106" s="198"/>
      <c r="F106" s="198"/>
      <c r="G106" s="199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9"/>
      <c r="AA106" s="198"/>
      <c r="AB106" s="198"/>
      <c r="AC106" s="198"/>
      <c r="AD106" s="198"/>
      <c r="AE106" s="198"/>
      <c r="AF106" s="198"/>
      <c r="AG106" s="198"/>
      <c r="AH106" s="198"/>
      <c r="AI106" s="198"/>
      <c r="AJ106" s="198"/>
      <c r="AK106" s="198"/>
      <c r="AL106" s="198"/>
      <c r="AM106" s="198"/>
    </row>
    <row r="107" ht="15.75" customHeight="1">
      <c r="A107" s="198"/>
      <c r="B107" s="198"/>
      <c r="C107" s="198"/>
      <c r="D107" s="198"/>
      <c r="E107" s="198"/>
      <c r="F107" s="198"/>
      <c r="G107" s="199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9"/>
      <c r="AA107" s="198"/>
      <c r="AB107" s="198"/>
      <c r="AC107" s="198"/>
      <c r="AD107" s="198"/>
      <c r="AE107" s="198"/>
      <c r="AF107" s="198"/>
      <c r="AG107" s="198"/>
      <c r="AH107" s="198"/>
      <c r="AI107" s="198"/>
      <c r="AJ107" s="198"/>
      <c r="AK107" s="198"/>
      <c r="AL107" s="198"/>
      <c r="AM107" s="198"/>
    </row>
    <row r="108" ht="15.75" customHeight="1">
      <c r="A108" s="198"/>
      <c r="B108" s="198"/>
      <c r="C108" s="198"/>
      <c r="D108" s="198"/>
      <c r="E108" s="198"/>
      <c r="F108" s="198"/>
      <c r="G108" s="199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9"/>
      <c r="AA108" s="198"/>
      <c r="AB108" s="198"/>
      <c r="AC108" s="198"/>
      <c r="AD108" s="198"/>
      <c r="AE108" s="198"/>
      <c r="AF108" s="198"/>
      <c r="AG108" s="198"/>
      <c r="AH108" s="198"/>
      <c r="AI108" s="198"/>
      <c r="AJ108" s="198"/>
      <c r="AK108" s="198"/>
      <c r="AL108" s="198"/>
      <c r="AM108" s="198"/>
    </row>
    <row r="109" ht="15.75" customHeight="1">
      <c r="A109" s="198"/>
      <c r="B109" s="198"/>
      <c r="C109" s="198"/>
      <c r="D109" s="198"/>
      <c r="E109" s="198"/>
      <c r="F109" s="198"/>
      <c r="G109" s="199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9"/>
      <c r="AA109" s="198"/>
      <c r="AB109" s="198"/>
      <c r="AC109" s="198"/>
      <c r="AD109" s="198"/>
      <c r="AE109" s="198"/>
      <c r="AF109" s="198"/>
      <c r="AG109" s="198"/>
      <c r="AH109" s="198"/>
      <c r="AI109" s="198"/>
      <c r="AJ109" s="198"/>
      <c r="AK109" s="198"/>
      <c r="AL109" s="198"/>
      <c r="AM109" s="198"/>
    </row>
    <row r="110" ht="15.75" customHeight="1">
      <c r="A110" s="198"/>
      <c r="B110" s="198"/>
      <c r="C110" s="198"/>
      <c r="D110" s="198"/>
      <c r="E110" s="198"/>
      <c r="F110" s="198"/>
      <c r="G110" s="199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9"/>
      <c r="AA110" s="198"/>
      <c r="AB110" s="198"/>
      <c r="AC110" s="198"/>
      <c r="AD110" s="198"/>
      <c r="AE110" s="198"/>
      <c r="AF110" s="198"/>
      <c r="AG110" s="198"/>
      <c r="AH110" s="198"/>
      <c r="AI110" s="198"/>
      <c r="AJ110" s="198"/>
      <c r="AK110" s="198"/>
      <c r="AL110" s="198"/>
      <c r="AM110" s="198"/>
    </row>
    <row r="111" ht="15.75" customHeight="1">
      <c r="A111" s="198"/>
      <c r="B111" s="198"/>
      <c r="C111" s="198"/>
      <c r="D111" s="198"/>
      <c r="E111" s="198"/>
      <c r="F111" s="198"/>
      <c r="G111" s="199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9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</row>
    <row r="112" ht="15.75" customHeight="1">
      <c r="A112" s="198"/>
      <c r="B112" s="198"/>
      <c r="C112" s="198"/>
      <c r="D112" s="198"/>
      <c r="E112" s="198"/>
      <c r="F112" s="198"/>
      <c r="G112" s="199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9"/>
      <c r="AA112" s="198"/>
      <c r="AB112" s="198"/>
      <c r="AC112" s="198"/>
      <c r="AD112" s="198"/>
      <c r="AE112" s="198"/>
      <c r="AF112" s="198"/>
      <c r="AG112" s="198"/>
      <c r="AH112" s="198"/>
      <c r="AI112" s="198"/>
      <c r="AJ112" s="198"/>
      <c r="AK112" s="198"/>
      <c r="AL112" s="198"/>
      <c r="AM112" s="198"/>
    </row>
    <row r="113" ht="15.75" customHeight="1">
      <c r="A113" s="198"/>
      <c r="B113" s="198"/>
      <c r="C113" s="198"/>
      <c r="D113" s="198"/>
      <c r="E113" s="198"/>
      <c r="F113" s="198"/>
      <c r="G113" s="199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9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</row>
    <row r="114" ht="15.75" customHeight="1">
      <c r="A114" s="198"/>
      <c r="B114" s="198"/>
      <c r="C114" s="198"/>
      <c r="D114" s="198"/>
      <c r="E114" s="198"/>
      <c r="F114" s="198"/>
      <c r="G114" s="199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9"/>
      <c r="AA114" s="198"/>
      <c r="AB114" s="198"/>
      <c r="AC114" s="198"/>
      <c r="AD114" s="198"/>
      <c r="AE114" s="198"/>
      <c r="AF114" s="198"/>
      <c r="AG114" s="198"/>
      <c r="AH114" s="198"/>
      <c r="AI114" s="198"/>
      <c r="AJ114" s="198"/>
      <c r="AK114" s="198"/>
      <c r="AL114" s="198"/>
      <c r="AM114" s="198"/>
    </row>
    <row r="115" ht="15.75" customHeight="1">
      <c r="A115" s="198"/>
      <c r="B115" s="198"/>
      <c r="C115" s="198"/>
      <c r="D115" s="198"/>
      <c r="E115" s="198"/>
      <c r="F115" s="198"/>
      <c r="G115" s="199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9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</row>
    <row r="116" ht="15.75" customHeight="1">
      <c r="A116" s="198"/>
      <c r="B116" s="198"/>
      <c r="C116" s="198"/>
      <c r="D116" s="198"/>
      <c r="E116" s="198"/>
      <c r="F116" s="198"/>
      <c r="G116" s="199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9"/>
      <c r="AA116" s="198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</row>
    <row r="117" ht="15.75" customHeight="1">
      <c r="A117" s="198"/>
      <c r="B117" s="198"/>
      <c r="C117" s="198"/>
      <c r="D117" s="198"/>
      <c r="E117" s="198"/>
      <c r="F117" s="198"/>
      <c r="G117" s="199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9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</row>
    <row r="118" ht="15.75" customHeight="1">
      <c r="A118" s="198"/>
      <c r="B118" s="198"/>
      <c r="C118" s="198"/>
      <c r="D118" s="198"/>
      <c r="E118" s="198"/>
      <c r="F118" s="198"/>
      <c r="G118" s="199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9"/>
      <c r="AA118" s="198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</row>
    <row r="119" ht="15.75" customHeight="1">
      <c r="A119" s="198"/>
      <c r="B119" s="198"/>
      <c r="C119" s="198"/>
      <c r="D119" s="198"/>
      <c r="E119" s="198"/>
      <c r="F119" s="198"/>
      <c r="G119" s="199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9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</row>
    <row r="120" ht="15.75" customHeight="1">
      <c r="A120" s="198"/>
      <c r="B120" s="198"/>
      <c r="C120" s="198"/>
      <c r="D120" s="198"/>
      <c r="E120" s="198"/>
      <c r="F120" s="198"/>
      <c r="G120" s="199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9"/>
      <c r="AA120" s="198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</row>
    <row r="121" ht="15.75" customHeight="1">
      <c r="A121" s="198"/>
      <c r="B121" s="198"/>
      <c r="C121" s="198"/>
      <c r="D121" s="198"/>
      <c r="E121" s="198"/>
      <c r="F121" s="198"/>
      <c r="G121" s="199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9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</row>
    <row r="122" ht="15.75" customHeight="1">
      <c r="A122" s="198"/>
      <c r="B122" s="198"/>
      <c r="C122" s="198"/>
      <c r="D122" s="198"/>
      <c r="E122" s="198"/>
      <c r="F122" s="198"/>
      <c r="G122" s="199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9"/>
      <c r="AA122" s="198"/>
      <c r="AB122" s="198"/>
      <c r="AC122" s="198"/>
      <c r="AD122" s="198"/>
      <c r="AE122" s="198"/>
      <c r="AF122" s="198"/>
      <c r="AG122" s="198"/>
      <c r="AH122" s="198"/>
      <c r="AI122" s="198"/>
      <c r="AJ122" s="198"/>
      <c r="AK122" s="198"/>
      <c r="AL122" s="198"/>
      <c r="AM122" s="198"/>
    </row>
    <row r="123" ht="15.75" customHeight="1">
      <c r="A123" s="198"/>
      <c r="B123" s="198"/>
      <c r="C123" s="198"/>
      <c r="D123" s="198"/>
      <c r="E123" s="198"/>
      <c r="F123" s="198"/>
      <c r="G123" s="199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9"/>
      <c r="AA123" s="198"/>
      <c r="AB123" s="198"/>
      <c r="AC123" s="198"/>
      <c r="AD123" s="198"/>
      <c r="AE123" s="198"/>
      <c r="AF123" s="198"/>
      <c r="AG123" s="198"/>
      <c r="AH123" s="198"/>
      <c r="AI123" s="198"/>
      <c r="AJ123" s="198"/>
      <c r="AK123" s="198"/>
      <c r="AL123" s="198"/>
      <c r="AM123" s="198"/>
    </row>
    <row r="124" ht="15.75" customHeight="1">
      <c r="A124" s="198"/>
      <c r="B124" s="198"/>
      <c r="C124" s="198"/>
      <c r="D124" s="198"/>
      <c r="E124" s="198"/>
      <c r="F124" s="198"/>
      <c r="G124" s="199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9"/>
      <c r="AA124" s="198"/>
      <c r="AB124" s="198"/>
      <c r="AC124" s="198"/>
      <c r="AD124" s="198"/>
      <c r="AE124" s="198"/>
      <c r="AF124" s="198"/>
      <c r="AG124" s="198"/>
      <c r="AH124" s="198"/>
      <c r="AI124" s="198"/>
      <c r="AJ124" s="198"/>
      <c r="AK124" s="198"/>
      <c r="AL124" s="198"/>
      <c r="AM124" s="198"/>
    </row>
    <row r="125" ht="15.75" customHeight="1">
      <c r="A125" s="198"/>
      <c r="B125" s="198"/>
      <c r="C125" s="198"/>
      <c r="D125" s="198"/>
      <c r="E125" s="198"/>
      <c r="F125" s="198"/>
      <c r="G125" s="199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9"/>
      <c r="AA125" s="198"/>
      <c r="AB125" s="198"/>
      <c r="AC125" s="198"/>
      <c r="AD125" s="198"/>
      <c r="AE125" s="198"/>
      <c r="AF125" s="198"/>
      <c r="AG125" s="198"/>
      <c r="AH125" s="198"/>
      <c r="AI125" s="198"/>
      <c r="AJ125" s="198"/>
      <c r="AK125" s="198"/>
      <c r="AL125" s="198"/>
      <c r="AM125" s="198"/>
    </row>
    <row r="126" ht="15.75" customHeight="1">
      <c r="A126" s="198"/>
      <c r="B126" s="198"/>
      <c r="C126" s="198"/>
      <c r="D126" s="198"/>
      <c r="E126" s="198"/>
      <c r="F126" s="198"/>
      <c r="G126" s="199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9"/>
      <c r="AA126" s="198"/>
      <c r="AB126" s="198"/>
      <c r="AC126" s="198"/>
      <c r="AD126" s="198"/>
      <c r="AE126" s="198"/>
      <c r="AF126" s="198"/>
      <c r="AG126" s="198"/>
      <c r="AH126" s="198"/>
      <c r="AI126" s="198"/>
      <c r="AJ126" s="198"/>
      <c r="AK126" s="198"/>
      <c r="AL126" s="198"/>
      <c r="AM126" s="198"/>
    </row>
    <row r="127" ht="15.75" customHeight="1">
      <c r="A127" s="198"/>
      <c r="B127" s="198"/>
      <c r="C127" s="198"/>
      <c r="D127" s="198"/>
      <c r="E127" s="198"/>
      <c r="F127" s="198"/>
      <c r="G127" s="199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9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</row>
    <row r="128" ht="15.75" customHeight="1">
      <c r="A128" s="198"/>
      <c r="B128" s="198"/>
      <c r="C128" s="198"/>
      <c r="D128" s="198"/>
      <c r="E128" s="198"/>
      <c r="F128" s="198"/>
      <c r="G128" s="199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9"/>
      <c r="AA128" s="198"/>
      <c r="AB128" s="198"/>
      <c r="AC128" s="198"/>
      <c r="AD128" s="198"/>
      <c r="AE128" s="198"/>
      <c r="AF128" s="198"/>
      <c r="AG128" s="198"/>
      <c r="AH128" s="198"/>
      <c r="AI128" s="198"/>
      <c r="AJ128" s="198"/>
      <c r="AK128" s="198"/>
      <c r="AL128" s="198"/>
      <c r="AM128" s="198"/>
    </row>
    <row r="129" ht="15.75" customHeight="1">
      <c r="A129" s="198"/>
      <c r="B129" s="198"/>
      <c r="C129" s="198"/>
      <c r="D129" s="198"/>
      <c r="E129" s="198"/>
      <c r="F129" s="198"/>
      <c r="G129" s="199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9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</row>
    <row r="130" ht="15.75" customHeight="1">
      <c r="A130" s="198"/>
      <c r="B130" s="198"/>
      <c r="C130" s="198"/>
      <c r="D130" s="198"/>
      <c r="E130" s="198"/>
      <c r="F130" s="198"/>
      <c r="G130" s="199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9"/>
      <c r="AA130" s="198"/>
      <c r="AB130" s="198"/>
      <c r="AC130" s="198"/>
      <c r="AD130" s="198"/>
      <c r="AE130" s="198"/>
      <c r="AF130" s="198"/>
      <c r="AG130" s="198"/>
      <c r="AH130" s="198"/>
      <c r="AI130" s="198"/>
      <c r="AJ130" s="198"/>
      <c r="AK130" s="198"/>
      <c r="AL130" s="198"/>
      <c r="AM130" s="198"/>
    </row>
    <row r="131" ht="15.75" customHeight="1">
      <c r="A131" s="198"/>
      <c r="B131" s="198"/>
      <c r="C131" s="198"/>
      <c r="D131" s="198"/>
      <c r="E131" s="198"/>
      <c r="F131" s="198"/>
      <c r="G131" s="199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9"/>
      <c r="AA131" s="198"/>
      <c r="AB131" s="198"/>
      <c r="AC131" s="198"/>
      <c r="AD131" s="198"/>
      <c r="AE131" s="198"/>
      <c r="AF131" s="198"/>
      <c r="AG131" s="198"/>
      <c r="AH131" s="198"/>
      <c r="AI131" s="198"/>
      <c r="AJ131" s="198"/>
      <c r="AK131" s="198"/>
      <c r="AL131" s="198"/>
      <c r="AM131" s="198"/>
    </row>
    <row r="132" ht="15.75" customHeight="1">
      <c r="A132" s="198"/>
      <c r="B132" s="198"/>
      <c r="C132" s="198"/>
      <c r="D132" s="198"/>
      <c r="E132" s="198"/>
      <c r="F132" s="198"/>
      <c r="G132" s="199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9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</row>
    <row r="133" ht="15.75" customHeight="1">
      <c r="A133" s="198"/>
      <c r="B133" s="198"/>
      <c r="C133" s="198"/>
      <c r="D133" s="198"/>
      <c r="E133" s="198"/>
      <c r="F133" s="198"/>
      <c r="G133" s="199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9"/>
      <c r="AA133" s="198"/>
      <c r="AB133" s="198"/>
      <c r="AC133" s="198"/>
      <c r="AD133" s="198"/>
      <c r="AE133" s="198"/>
      <c r="AF133" s="198"/>
      <c r="AG133" s="198"/>
      <c r="AH133" s="198"/>
      <c r="AI133" s="198"/>
      <c r="AJ133" s="198"/>
      <c r="AK133" s="198"/>
      <c r="AL133" s="198"/>
      <c r="AM133" s="198"/>
    </row>
    <row r="134" ht="15.75" customHeight="1">
      <c r="A134" s="198"/>
      <c r="B134" s="198"/>
      <c r="C134" s="198"/>
      <c r="D134" s="198"/>
      <c r="E134" s="198"/>
      <c r="F134" s="198"/>
      <c r="G134" s="199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9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</row>
    <row r="135" ht="15.75" customHeight="1">
      <c r="A135" s="198"/>
      <c r="B135" s="198"/>
      <c r="C135" s="198"/>
      <c r="D135" s="198"/>
      <c r="E135" s="198"/>
      <c r="F135" s="198"/>
      <c r="G135" s="199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9"/>
      <c r="AA135" s="198"/>
      <c r="AB135" s="198"/>
      <c r="AC135" s="198"/>
      <c r="AD135" s="198"/>
      <c r="AE135" s="198"/>
      <c r="AF135" s="198"/>
      <c r="AG135" s="198"/>
      <c r="AH135" s="198"/>
      <c r="AI135" s="198"/>
      <c r="AJ135" s="198"/>
      <c r="AK135" s="198"/>
      <c r="AL135" s="198"/>
      <c r="AM135" s="198"/>
    </row>
    <row r="136" ht="15.75" customHeight="1">
      <c r="A136" s="198"/>
      <c r="B136" s="198"/>
      <c r="C136" s="198"/>
      <c r="D136" s="198"/>
      <c r="E136" s="198"/>
      <c r="F136" s="198"/>
      <c r="G136" s="199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9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</row>
    <row r="137" ht="15.75" customHeight="1">
      <c r="A137" s="198"/>
      <c r="B137" s="198"/>
      <c r="C137" s="198"/>
      <c r="D137" s="198"/>
      <c r="E137" s="198"/>
      <c r="F137" s="198"/>
      <c r="G137" s="199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9"/>
      <c r="AA137" s="198"/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</row>
    <row r="138" ht="15.75" customHeight="1">
      <c r="A138" s="198"/>
      <c r="B138" s="198"/>
      <c r="C138" s="198"/>
      <c r="D138" s="198"/>
      <c r="E138" s="198"/>
      <c r="F138" s="198"/>
      <c r="G138" s="199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9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</row>
    <row r="139" ht="15.75" customHeight="1">
      <c r="A139" s="198"/>
      <c r="B139" s="198"/>
      <c r="C139" s="198"/>
      <c r="D139" s="198"/>
      <c r="E139" s="198"/>
      <c r="F139" s="198"/>
      <c r="G139" s="199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9"/>
      <c r="AA139" s="198"/>
      <c r="AB139" s="198"/>
      <c r="AC139" s="198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</row>
    <row r="140" ht="15.75" customHeight="1">
      <c r="A140" s="198"/>
      <c r="B140" s="198"/>
      <c r="C140" s="198"/>
      <c r="D140" s="198"/>
      <c r="E140" s="198"/>
      <c r="F140" s="198"/>
      <c r="G140" s="199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9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</row>
    <row r="141" ht="15.75" customHeight="1">
      <c r="A141" s="198"/>
      <c r="B141" s="198"/>
      <c r="C141" s="198"/>
      <c r="D141" s="198"/>
      <c r="E141" s="198"/>
      <c r="F141" s="198"/>
      <c r="G141" s="199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9"/>
      <c r="AA141" s="198"/>
      <c r="AB141" s="198"/>
      <c r="AC141" s="198"/>
      <c r="AD141" s="198"/>
      <c r="AE141" s="198"/>
      <c r="AF141" s="198"/>
      <c r="AG141" s="198"/>
      <c r="AH141" s="198"/>
      <c r="AI141" s="198"/>
      <c r="AJ141" s="198"/>
      <c r="AK141" s="198"/>
      <c r="AL141" s="198"/>
      <c r="AM141" s="198"/>
    </row>
    <row r="142" ht="15.75" customHeight="1">
      <c r="A142" s="198"/>
      <c r="B142" s="198"/>
      <c r="C142" s="198"/>
      <c r="D142" s="198"/>
      <c r="E142" s="198"/>
      <c r="F142" s="198"/>
      <c r="G142" s="199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9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</row>
    <row r="143" ht="15.75" customHeight="1">
      <c r="A143" s="198"/>
      <c r="B143" s="198"/>
      <c r="C143" s="198"/>
      <c r="D143" s="198"/>
      <c r="E143" s="198"/>
      <c r="F143" s="198"/>
      <c r="G143" s="199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9"/>
      <c r="AA143" s="198"/>
      <c r="AB143" s="198"/>
      <c r="AC143" s="198"/>
      <c r="AD143" s="198"/>
      <c r="AE143" s="198"/>
      <c r="AF143" s="198"/>
      <c r="AG143" s="198"/>
      <c r="AH143" s="198"/>
      <c r="AI143" s="198"/>
      <c r="AJ143" s="198"/>
      <c r="AK143" s="198"/>
      <c r="AL143" s="198"/>
      <c r="AM143" s="198"/>
    </row>
    <row r="144" ht="15.75" customHeight="1">
      <c r="A144" s="198"/>
      <c r="B144" s="198"/>
      <c r="C144" s="198"/>
      <c r="D144" s="198"/>
      <c r="E144" s="198"/>
      <c r="F144" s="198"/>
      <c r="G144" s="199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9"/>
      <c r="AA144" s="198"/>
      <c r="AB144" s="198"/>
      <c r="AC144" s="198"/>
      <c r="AD144" s="198"/>
      <c r="AE144" s="198"/>
      <c r="AF144" s="198"/>
      <c r="AG144" s="198"/>
      <c r="AH144" s="198"/>
      <c r="AI144" s="198"/>
      <c r="AJ144" s="198"/>
      <c r="AK144" s="198"/>
      <c r="AL144" s="198"/>
      <c r="AM144" s="198"/>
    </row>
    <row r="145" ht="15.75" customHeight="1">
      <c r="A145" s="198"/>
      <c r="B145" s="198"/>
      <c r="C145" s="198"/>
      <c r="D145" s="198"/>
      <c r="E145" s="198"/>
      <c r="F145" s="198"/>
      <c r="G145" s="199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9"/>
      <c r="AA145" s="198"/>
      <c r="AB145" s="198"/>
      <c r="AC145" s="198"/>
      <c r="AD145" s="198"/>
      <c r="AE145" s="198"/>
      <c r="AF145" s="198"/>
      <c r="AG145" s="198"/>
      <c r="AH145" s="198"/>
      <c r="AI145" s="198"/>
      <c r="AJ145" s="198"/>
      <c r="AK145" s="198"/>
      <c r="AL145" s="198"/>
      <c r="AM145" s="198"/>
    </row>
    <row r="146" ht="15.75" customHeight="1">
      <c r="A146" s="198"/>
      <c r="B146" s="198"/>
      <c r="C146" s="198"/>
      <c r="D146" s="198"/>
      <c r="E146" s="198"/>
      <c r="F146" s="198"/>
      <c r="G146" s="199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9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</row>
    <row r="147" ht="15.75" customHeight="1">
      <c r="A147" s="198"/>
      <c r="B147" s="198"/>
      <c r="C147" s="198"/>
      <c r="D147" s="198"/>
      <c r="E147" s="198"/>
      <c r="F147" s="198"/>
      <c r="G147" s="199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9"/>
      <c r="AA147" s="198"/>
      <c r="AB147" s="198"/>
      <c r="AC147" s="198"/>
      <c r="AD147" s="198"/>
      <c r="AE147" s="198"/>
      <c r="AF147" s="198"/>
      <c r="AG147" s="198"/>
      <c r="AH147" s="198"/>
      <c r="AI147" s="198"/>
      <c r="AJ147" s="198"/>
      <c r="AK147" s="198"/>
      <c r="AL147" s="198"/>
      <c r="AM147" s="198"/>
    </row>
    <row r="148" ht="15.75" customHeight="1">
      <c r="A148" s="198"/>
      <c r="B148" s="198"/>
      <c r="C148" s="198"/>
      <c r="D148" s="198"/>
      <c r="E148" s="198"/>
      <c r="F148" s="198"/>
      <c r="G148" s="199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9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</row>
    <row r="149" ht="15.75" customHeight="1">
      <c r="A149" s="198"/>
      <c r="B149" s="198"/>
      <c r="C149" s="198"/>
      <c r="D149" s="198"/>
      <c r="E149" s="198"/>
      <c r="F149" s="198"/>
      <c r="G149" s="199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9"/>
      <c r="AA149" s="198"/>
      <c r="AB149" s="198"/>
      <c r="AC149" s="198"/>
      <c r="AD149" s="198"/>
      <c r="AE149" s="198"/>
      <c r="AF149" s="198"/>
      <c r="AG149" s="198"/>
      <c r="AH149" s="198"/>
      <c r="AI149" s="198"/>
      <c r="AJ149" s="198"/>
      <c r="AK149" s="198"/>
      <c r="AL149" s="198"/>
      <c r="AM149" s="198"/>
    </row>
    <row r="150" ht="15.75" customHeight="1">
      <c r="A150" s="198"/>
      <c r="B150" s="198"/>
      <c r="C150" s="198"/>
      <c r="D150" s="198"/>
      <c r="E150" s="198"/>
      <c r="F150" s="198"/>
      <c r="G150" s="199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9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</row>
    <row r="151" ht="15.75" customHeight="1">
      <c r="A151" s="198"/>
      <c r="B151" s="198"/>
      <c r="C151" s="198"/>
      <c r="D151" s="198"/>
      <c r="E151" s="198"/>
      <c r="F151" s="198"/>
      <c r="G151" s="199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9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</row>
    <row r="152" ht="15.75" customHeight="1">
      <c r="A152" s="198"/>
      <c r="B152" s="198"/>
      <c r="C152" s="198"/>
      <c r="D152" s="198"/>
      <c r="E152" s="198"/>
      <c r="F152" s="198"/>
      <c r="G152" s="199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</row>
    <row r="153" ht="15.75" customHeight="1">
      <c r="A153" s="198"/>
      <c r="B153" s="198"/>
      <c r="C153" s="198"/>
      <c r="D153" s="198"/>
      <c r="E153" s="198"/>
      <c r="F153" s="198"/>
      <c r="G153" s="199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9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</row>
    <row r="154" ht="15.75" customHeight="1">
      <c r="A154" s="198"/>
      <c r="B154" s="198"/>
      <c r="C154" s="198"/>
      <c r="D154" s="198"/>
      <c r="E154" s="198"/>
      <c r="F154" s="198"/>
      <c r="G154" s="199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9"/>
      <c r="AA154" s="198"/>
      <c r="AB154" s="198"/>
      <c r="AC154" s="198"/>
      <c r="AD154" s="198"/>
      <c r="AE154" s="198"/>
      <c r="AF154" s="198"/>
      <c r="AG154" s="198"/>
      <c r="AH154" s="198"/>
      <c r="AI154" s="198"/>
      <c r="AJ154" s="198"/>
      <c r="AK154" s="198"/>
      <c r="AL154" s="198"/>
      <c r="AM154" s="198"/>
    </row>
    <row r="155" ht="15.75" customHeight="1">
      <c r="A155" s="198"/>
      <c r="B155" s="198"/>
      <c r="C155" s="198"/>
      <c r="D155" s="198"/>
      <c r="E155" s="198"/>
      <c r="F155" s="198"/>
      <c r="G155" s="199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9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</row>
    <row r="156" ht="15.75" customHeight="1">
      <c r="A156" s="198"/>
      <c r="B156" s="198"/>
      <c r="C156" s="198"/>
      <c r="D156" s="198"/>
      <c r="E156" s="198"/>
      <c r="F156" s="198"/>
      <c r="G156" s="199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9"/>
      <c r="AA156" s="198"/>
      <c r="AB156" s="198"/>
      <c r="AC156" s="198"/>
      <c r="AD156" s="198"/>
      <c r="AE156" s="198"/>
      <c r="AF156" s="198"/>
      <c r="AG156" s="198"/>
      <c r="AH156" s="198"/>
      <c r="AI156" s="198"/>
      <c r="AJ156" s="198"/>
      <c r="AK156" s="198"/>
      <c r="AL156" s="198"/>
      <c r="AM156" s="198"/>
    </row>
    <row r="157" ht="15.75" customHeight="1">
      <c r="A157" s="198"/>
      <c r="B157" s="198"/>
      <c r="C157" s="198"/>
      <c r="D157" s="198"/>
      <c r="E157" s="198"/>
      <c r="F157" s="198"/>
      <c r="G157" s="199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9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</row>
    <row r="158" ht="15.75" customHeight="1">
      <c r="A158" s="198"/>
      <c r="B158" s="198"/>
      <c r="C158" s="198"/>
      <c r="D158" s="198"/>
      <c r="E158" s="198"/>
      <c r="F158" s="198"/>
      <c r="G158" s="199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9"/>
      <c r="AA158" s="198"/>
      <c r="AB158" s="198"/>
      <c r="AC158" s="198"/>
      <c r="AD158" s="198"/>
      <c r="AE158" s="198"/>
      <c r="AF158" s="198"/>
      <c r="AG158" s="198"/>
      <c r="AH158" s="198"/>
      <c r="AI158" s="198"/>
      <c r="AJ158" s="198"/>
      <c r="AK158" s="198"/>
      <c r="AL158" s="198"/>
      <c r="AM158" s="198"/>
    </row>
    <row r="159" ht="15.75" customHeight="1">
      <c r="A159" s="198"/>
      <c r="B159" s="198"/>
      <c r="C159" s="198"/>
      <c r="D159" s="198"/>
      <c r="E159" s="198"/>
      <c r="F159" s="198"/>
      <c r="G159" s="199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9"/>
      <c r="AA159" s="198"/>
      <c r="AB159" s="198"/>
      <c r="AC159" s="198"/>
      <c r="AD159" s="198"/>
      <c r="AE159" s="198"/>
      <c r="AF159" s="198"/>
      <c r="AG159" s="198"/>
      <c r="AH159" s="198"/>
      <c r="AI159" s="198"/>
      <c r="AJ159" s="198"/>
      <c r="AK159" s="198"/>
      <c r="AL159" s="198"/>
      <c r="AM159" s="198"/>
    </row>
    <row r="160" ht="15.75" customHeight="1">
      <c r="A160" s="198"/>
      <c r="B160" s="198"/>
      <c r="C160" s="198"/>
      <c r="D160" s="198"/>
      <c r="E160" s="198"/>
      <c r="F160" s="198"/>
      <c r="G160" s="199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9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</row>
    <row r="161" ht="15.75" customHeight="1">
      <c r="A161" s="198"/>
      <c r="B161" s="198"/>
      <c r="C161" s="198"/>
      <c r="D161" s="198"/>
      <c r="E161" s="198"/>
      <c r="F161" s="198"/>
      <c r="G161" s="199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9"/>
      <c r="AA161" s="198"/>
      <c r="AB161" s="198"/>
      <c r="AC161" s="198"/>
      <c r="AD161" s="198"/>
      <c r="AE161" s="198"/>
      <c r="AF161" s="198"/>
      <c r="AG161" s="198"/>
      <c r="AH161" s="198"/>
      <c r="AI161" s="198"/>
      <c r="AJ161" s="198"/>
      <c r="AK161" s="198"/>
      <c r="AL161" s="198"/>
      <c r="AM161" s="198"/>
    </row>
    <row r="162" ht="15.75" customHeight="1">
      <c r="A162" s="198"/>
      <c r="B162" s="198"/>
      <c r="C162" s="198"/>
      <c r="D162" s="198"/>
      <c r="E162" s="198"/>
      <c r="F162" s="198"/>
      <c r="G162" s="199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9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</row>
    <row r="163" ht="15.75" customHeight="1">
      <c r="A163" s="198"/>
      <c r="B163" s="198"/>
      <c r="C163" s="198"/>
      <c r="D163" s="198"/>
      <c r="E163" s="198"/>
      <c r="F163" s="198"/>
      <c r="G163" s="199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9"/>
      <c r="AA163" s="198"/>
      <c r="AB163" s="198"/>
      <c r="AC163" s="198"/>
      <c r="AD163" s="198"/>
      <c r="AE163" s="198"/>
      <c r="AF163" s="198"/>
      <c r="AG163" s="198"/>
      <c r="AH163" s="198"/>
      <c r="AI163" s="198"/>
      <c r="AJ163" s="198"/>
      <c r="AK163" s="198"/>
      <c r="AL163" s="198"/>
      <c r="AM163" s="198"/>
    </row>
    <row r="164" ht="15.75" customHeight="1">
      <c r="A164" s="198"/>
      <c r="B164" s="198"/>
      <c r="C164" s="198"/>
      <c r="D164" s="198"/>
      <c r="E164" s="198"/>
      <c r="F164" s="198"/>
      <c r="G164" s="199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9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</row>
    <row r="165" ht="15.75" customHeight="1">
      <c r="A165" s="198"/>
      <c r="B165" s="198"/>
      <c r="C165" s="198"/>
      <c r="D165" s="198"/>
      <c r="E165" s="198"/>
      <c r="F165" s="198"/>
      <c r="G165" s="199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9"/>
      <c r="AA165" s="198"/>
      <c r="AB165" s="198"/>
      <c r="AC165" s="198"/>
      <c r="AD165" s="198"/>
      <c r="AE165" s="198"/>
      <c r="AF165" s="198"/>
      <c r="AG165" s="198"/>
      <c r="AH165" s="198"/>
      <c r="AI165" s="198"/>
      <c r="AJ165" s="198"/>
      <c r="AK165" s="198"/>
      <c r="AL165" s="198"/>
      <c r="AM165" s="198"/>
    </row>
    <row r="166" ht="15.75" customHeight="1">
      <c r="A166" s="198"/>
      <c r="B166" s="198"/>
      <c r="C166" s="198"/>
      <c r="D166" s="198"/>
      <c r="E166" s="198"/>
      <c r="F166" s="198"/>
      <c r="G166" s="199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9"/>
      <c r="AA166" s="198"/>
      <c r="AB166" s="198"/>
      <c r="AC166" s="198"/>
      <c r="AD166" s="198"/>
      <c r="AE166" s="198"/>
      <c r="AF166" s="198"/>
      <c r="AG166" s="198"/>
      <c r="AH166" s="198"/>
      <c r="AI166" s="198"/>
      <c r="AJ166" s="198"/>
      <c r="AK166" s="198"/>
      <c r="AL166" s="198"/>
      <c r="AM166" s="198"/>
    </row>
    <row r="167" ht="15.75" customHeight="1">
      <c r="A167" s="198"/>
      <c r="B167" s="198"/>
      <c r="C167" s="198"/>
      <c r="D167" s="198"/>
      <c r="E167" s="198"/>
      <c r="F167" s="198"/>
      <c r="G167" s="199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9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</row>
    <row r="168" ht="15.75" customHeight="1">
      <c r="A168" s="198"/>
      <c r="B168" s="198"/>
      <c r="C168" s="198"/>
      <c r="D168" s="198"/>
      <c r="E168" s="198"/>
      <c r="F168" s="198"/>
      <c r="G168" s="199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9"/>
      <c r="AA168" s="198"/>
      <c r="AB168" s="198"/>
      <c r="AC168" s="198"/>
      <c r="AD168" s="198"/>
      <c r="AE168" s="198"/>
      <c r="AF168" s="198"/>
      <c r="AG168" s="198"/>
      <c r="AH168" s="198"/>
      <c r="AI168" s="198"/>
      <c r="AJ168" s="198"/>
      <c r="AK168" s="198"/>
      <c r="AL168" s="198"/>
      <c r="AM168" s="198"/>
    </row>
    <row r="169" ht="15.75" customHeight="1">
      <c r="A169" s="198"/>
      <c r="B169" s="198"/>
      <c r="C169" s="198"/>
      <c r="D169" s="198"/>
      <c r="E169" s="198"/>
      <c r="F169" s="198"/>
      <c r="G169" s="199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9"/>
      <c r="AA169" s="198"/>
      <c r="AB169" s="198"/>
      <c r="AC169" s="198"/>
      <c r="AD169" s="198"/>
      <c r="AE169" s="198"/>
      <c r="AF169" s="198"/>
      <c r="AG169" s="198"/>
      <c r="AH169" s="198"/>
      <c r="AI169" s="198"/>
      <c r="AJ169" s="198"/>
      <c r="AK169" s="198"/>
      <c r="AL169" s="198"/>
      <c r="AM169" s="198"/>
    </row>
    <row r="170" ht="15.75" customHeight="1">
      <c r="A170" s="198"/>
      <c r="B170" s="198"/>
      <c r="C170" s="198"/>
      <c r="D170" s="198"/>
      <c r="E170" s="198"/>
      <c r="F170" s="198"/>
      <c r="G170" s="199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9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</row>
    <row r="171" ht="15.75" customHeight="1">
      <c r="A171" s="198"/>
      <c r="B171" s="198"/>
      <c r="C171" s="198"/>
      <c r="D171" s="198"/>
      <c r="E171" s="198"/>
      <c r="F171" s="198"/>
      <c r="G171" s="199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9"/>
      <c r="AA171" s="198"/>
      <c r="AB171" s="198"/>
      <c r="AC171" s="198"/>
      <c r="AD171" s="198"/>
      <c r="AE171" s="198"/>
      <c r="AF171" s="198"/>
      <c r="AG171" s="198"/>
      <c r="AH171" s="198"/>
      <c r="AI171" s="198"/>
      <c r="AJ171" s="198"/>
      <c r="AK171" s="198"/>
      <c r="AL171" s="198"/>
      <c r="AM171" s="198"/>
    </row>
    <row r="172" ht="15.75" customHeight="1">
      <c r="A172" s="198"/>
      <c r="B172" s="198"/>
      <c r="C172" s="198"/>
      <c r="D172" s="198"/>
      <c r="E172" s="198"/>
      <c r="F172" s="198"/>
      <c r="G172" s="199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9"/>
      <c r="AA172" s="198"/>
      <c r="AB172" s="198"/>
      <c r="AC172" s="198"/>
      <c r="AD172" s="198"/>
      <c r="AE172" s="198"/>
      <c r="AF172" s="198"/>
      <c r="AG172" s="198"/>
      <c r="AH172" s="198"/>
      <c r="AI172" s="198"/>
      <c r="AJ172" s="198"/>
      <c r="AK172" s="198"/>
      <c r="AL172" s="198"/>
      <c r="AM172" s="198"/>
    </row>
    <row r="173" ht="15.75" customHeight="1">
      <c r="A173" s="198"/>
      <c r="B173" s="198"/>
      <c r="C173" s="198"/>
      <c r="D173" s="198"/>
      <c r="E173" s="198"/>
      <c r="F173" s="198"/>
      <c r="G173" s="199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9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</row>
    <row r="174" ht="15.75" customHeight="1">
      <c r="A174" s="198"/>
      <c r="B174" s="198"/>
      <c r="C174" s="198"/>
      <c r="D174" s="198"/>
      <c r="E174" s="198"/>
      <c r="F174" s="198"/>
      <c r="G174" s="199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9"/>
      <c r="AA174" s="198"/>
      <c r="AB174" s="198"/>
      <c r="AC174" s="198"/>
      <c r="AD174" s="198"/>
      <c r="AE174" s="198"/>
      <c r="AF174" s="198"/>
      <c r="AG174" s="198"/>
      <c r="AH174" s="198"/>
      <c r="AI174" s="198"/>
      <c r="AJ174" s="198"/>
      <c r="AK174" s="198"/>
      <c r="AL174" s="198"/>
      <c r="AM174" s="198"/>
    </row>
    <row r="175" ht="15.75" customHeight="1">
      <c r="A175" s="198"/>
      <c r="B175" s="198"/>
      <c r="C175" s="198"/>
      <c r="D175" s="198"/>
      <c r="E175" s="198"/>
      <c r="F175" s="198"/>
      <c r="G175" s="199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9"/>
      <c r="AA175" s="198"/>
      <c r="AB175" s="198"/>
      <c r="AC175" s="198"/>
      <c r="AD175" s="198"/>
      <c r="AE175" s="198"/>
      <c r="AF175" s="198"/>
      <c r="AG175" s="198"/>
      <c r="AH175" s="198"/>
      <c r="AI175" s="198"/>
      <c r="AJ175" s="198"/>
      <c r="AK175" s="198"/>
      <c r="AL175" s="198"/>
      <c r="AM175" s="198"/>
    </row>
    <row r="176" ht="15.75" customHeight="1">
      <c r="A176" s="198"/>
      <c r="B176" s="198"/>
      <c r="C176" s="198"/>
      <c r="D176" s="198"/>
      <c r="E176" s="198"/>
      <c r="F176" s="198"/>
      <c r="G176" s="199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9"/>
      <c r="AA176" s="198"/>
      <c r="AB176" s="198"/>
      <c r="AC176" s="198"/>
      <c r="AD176" s="198"/>
      <c r="AE176" s="198"/>
      <c r="AF176" s="198"/>
      <c r="AG176" s="198"/>
      <c r="AH176" s="198"/>
      <c r="AI176" s="198"/>
      <c r="AJ176" s="198"/>
      <c r="AK176" s="198"/>
      <c r="AL176" s="198"/>
      <c r="AM176" s="198"/>
    </row>
    <row r="177" ht="15.75" customHeight="1">
      <c r="A177" s="198"/>
      <c r="B177" s="198"/>
      <c r="C177" s="198"/>
      <c r="D177" s="198"/>
      <c r="E177" s="198"/>
      <c r="F177" s="198"/>
      <c r="G177" s="199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9"/>
      <c r="AA177" s="198"/>
      <c r="AB177" s="198"/>
      <c r="AC177" s="198"/>
      <c r="AD177" s="198"/>
      <c r="AE177" s="198"/>
      <c r="AF177" s="198"/>
      <c r="AG177" s="198"/>
      <c r="AH177" s="198"/>
      <c r="AI177" s="198"/>
      <c r="AJ177" s="198"/>
      <c r="AK177" s="198"/>
      <c r="AL177" s="198"/>
      <c r="AM177" s="198"/>
    </row>
    <row r="178" ht="15.75" customHeight="1">
      <c r="A178" s="198"/>
      <c r="B178" s="198"/>
      <c r="C178" s="198"/>
      <c r="D178" s="198"/>
      <c r="E178" s="198"/>
      <c r="F178" s="198"/>
      <c r="G178" s="199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9"/>
      <c r="AA178" s="198"/>
      <c r="AB178" s="198"/>
      <c r="AC178" s="198"/>
      <c r="AD178" s="198"/>
      <c r="AE178" s="198"/>
      <c r="AF178" s="198"/>
      <c r="AG178" s="198"/>
      <c r="AH178" s="198"/>
      <c r="AI178" s="198"/>
      <c r="AJ178" s="198"/>
      <c r="AK178" s="198"/>
      <c r="AL178" s="198"/>
      <c r="AM178" s="198"/>
    </row>
    <row r="179" ht="15.75" customHeight="1">
      <c r="A179" s="198"/>
      <c r="B179" s="198"/>
      <c r="C179" s="198"/>
      <c r="D179" s="198"/>
      <c r="E179" s="198"/>
      <c r="F179" s="198"/>
      <c r="G179" s="199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9"/>
      <c r="AA179" s="198"/>
      <c r="AB179" s="198"/>
      <c r="AC179" s="198"/>
      <c r="AD179" s="198"/>
      <c r="AE179" s="198"/>
      <c r="AF179" s="198"/>
      <c r="AG179" s="198"/>
      <c r="AH179" s="198"/>
      <c r="AI179" s="198"/>
      <c r="AJ179" s="198"/>
      <c r="AK179" s="198"/>
      <c r="AL179" s="198"/>
      <c r="AM179" s="198"/>
    </row>
    <row r="180" ht="15.75" customHeight="1">
      <c r="A180" s="198"/>
      <c r="B180" s="198"/>
      <c r="C180" s="198"/>
      <c r="D180" s="198"/>
      <c r="E180" s="198"/>
      <c r="F180" s="198"/>
      <c r="G180" s="199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9"/>
      <c r="AA180" s="198"/>
      <c r="AB180" s="198"/>
      <c r="AC180" s="198"/>
      <c r="AD180" s="198"/>
      <c r="AE180" s="198"/>
      <c r="AF180" s="198"/>
      <c r="AG180" s="198"/>
      <c r="AH180" s="198"/>
      <c r="AI180" s="198"/>
      <c r="AJ180" s="198"/>
      <c r="AK180" s="198"/>
      <c r="AL180" s="198"/>
      <c r="AM180" s="198"/>
    </row>
    <row r="181" ht="15.75" customHeight="1">
      <c r="A181" s="198"/>
      <c r="B181" s="198"/>
      <c r="C181" s="198"/>
      <c r="D181" s="198"/>
      <c r="E181" s="198"/>
      <c r="F181" s="198"/>
      <c r="G181" s="199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9"/>
      <c r="AA181" s="198"/>
      <c r="AB181" s="198"/>
      <c r="AC181" s="198"/>
      <c r="AD181" s="198"/>
      <c r="AE181" s="198"/>
      <c r="AF181" s="198"/>
      <c r="AG181" s="198"/>
      <c r="AH181" s="198"/>
      <c r="AI181" s="198"/>
      <c r="AJ181" s="198"/>
      <c r="AK181" s="198"/>
      <c r="AL181" s="198"/>
      <c r="AM181" s="198"/>
    </row>
    <row r="182" ht="15.75" customHeight="1">
      <c r="A182" s="198"/>
      <c r="B182" s="198"/>
      <c r="C182" s="198"/>
      <c r="D182" s="198"/>
      <c r="E182" s="198"/>
      <c r="F182" s="198"/>
      <c r="G182" s="199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9"/>
      <c r="AA182" s="198"/>
      <c r="AB182" s="198"/>
      <c r="AC182" s="198"/>
      <c r="AD182" s="198"/>
      <c r="AE182" s="198"/>
      <c r="AF182" s="198"/>
      <c r="AG182" s="198"/>
      <c r="AH182" s="198"/>
      <c r="AI182" s="198"/>
      <c r="AJ182" s="198"/>
      <c r="AK182" s="198"/>
      <c r="AL182" s="198"/>
      <c r="AM182" s="198"/>
    </row>
    <row r="183" ht="15.75" customHeight="1">
      <c r="A183" s="198"/>
      <c r="B183" s="198"/>
      <c r="C183" s="198"/>
      <c r="D183" s="198"/>
      <c r="E183" s="198"/>
      <c r="F183" s="198"/>
      <c r="G183" s="199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9"/>
      <c r="AA183" s="198"/>
      <c r="AB183" s="198"/>
      <c r="AC183" s="198"/>
      <c r="AD183" s="198"/>
      <c r="AE183" s="198"/>
      <c r="AF183" s="198"/>
      <c r="AG183" s="198"/>
      <c r="AH183" s="198"/>
      <c r="AI183" s="198"/>
      <c r="AJ183" s="198"/>
      <c r="AK183" s="198"/>
      <c r="AL183" s="198"/>
      <c r="AM183" s="198"/>
    </row>
    <row r="184" ht="15.75" customHeight="1">
      <c r="A184" s="198"/>
      <c r="B184" s="198"/>
      <c r="C184" s="198"/>
      <c r="D184" s="198"/>
      <c r="E184" s="198"/>
      <c r="F184" s="198"/>
      <c r="G184" s="199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9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</row>
    <row r="185" ht="15.75" customHeight="1">
      <c r="A185" s="198"/>
      <c r="B185" s="198"/>
      <c r="C185" s="198"/>
      <c r="D185" s="198"/>
      <c r="E185" s="198"/>
      <c r="F185" s="198"/>
      <c r="G185" s="199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9"/>
      <c r="AA185" s="198"/>
      <c r="AB185" s="198"/>
      <c r="AC185" s="198"/>
      <c r="AD185" s="198"/>
      <c r="AE185" s="198"/>
      <c r="AF185" s="198"/>
      <c r="AG185" s="198"/>
      <c r="AH185" s="198"/>
      <c r="AI185" s="198"/>
      <c r="AJ185" s="198"/>
      <c r="AK185" s="198"/>
      <c r="AL185" s="198"/>
      <c r="AM185" s="198"/>
    </row>
    <row r="186" ht="15.75" customHeight="1">
      <c r="A186" s="198"/>
      <c r="B186" s="198"/>
      <c r="C186" s="198"/>
      <c r="D186" s="198"/>
      <c r="E186" s="198"/>
      <c r="F186" s="198"/>
      <c r="G186" s="199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9"/>
      <c r="AA186" s="198"/>
      <c r="AB186" s="198"/>
      <c r="AC186" s="198"/>
      <c r="AD186" s="198"/>
      <c r="AE186" s="198"/>
      <c r="AF186" s="198"/>
      <c r="AG186" s="198"/>
      <c r="AH186" s="198"/>
      <c r="AI186" s="198"/>
      <c r="AJ186" s="198"/>
      <c r="AK186" s="198"/>
      <c r="AL186" s="198"/>
      <c r="AM186" s="198"/>
    </row>
    <row r="187" ht="15.75" customHeight="1">
      <c r="A187" s="198"/>
      <c r="B187" s="198"/>
      <c r="C187" s="198"/>
      <c r="D187" s="198"/>
      <c r="E187" s="198"/>
      <c r="F187" s="198"/>
      <c r="G187" s="199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9"/>
      <c r="AA187" s="198"/>
      <c r="AB187" s="198"/>
      <c r="AC187" s="198"/>
      <c r="AD187" s="198"/>
      <c r="AE187" s="198"/>
      <c r="AF187" s="198"/>
      <c r="AG187" s="198"/>
      <c r="AH187" s="198"/>
      <c r="AI187" s="198"/>
      <c r="AJ187" s="198"/>
      <c r="AK187" s="198"/>
      <c r="AL187" s="198"/>
      <c r="AM187" s="198"/>
    </row>
    <row r="188" ht="15.75" customHeight="1">
      <c r="A188" s="198"/>
      <c r="B188" s="198"/>
      <c r="C188" s="198"/>
      <c r="D188" s="198"/>
      <c r="E188" s="198"/>
      <c r="F188" s="198"/>
      <c r="G188" s="199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9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</row>
    <row r="189" ht="15.75" customHeight="1">
      <c r="A189" s="198"/>
      <c r="B189" s="198"/>
      <c r="C189" s="198"/>
      <c r="D189" s="198"/>
      <c r="E189" s="198"/>
      <c r="F189" s="198"/>
      <c r="G189" s="199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9"/>
      <c r="AA189" s="198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</row>
    <row r="190" ht="15.75" customHeight="1">
      <c r="A190" s="198"/>
      <c r="B190" s="198"/>
      <c r="C190" s="198"/>
      <c r="D190" s="198"/>
      <c r="E190" s="198"/>
      <c r="F190" s="198"/>
      <c r="G190" s="199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9"/>
      <c r="AA190" s="198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</row>
    <row r="191" ht="15.75" customHeight="1">
      <c r="A191" s="198"/>
      <c r="B191" s="198"/>
      <c r="C191" s="198"/>
      <c r="D191" s="198"/>
      <c r="E191" s="198"/>
      <c r="F191" s="198"/>
      <c r="G191" s="199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9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</row>
    <row r="192" ht="15.75" customHeight="1">
      <c r="A192" s="198"/>
      <c r="B192" s="198"/>
      <c r="C192" s="198"/>
      <c r="D192" s="198"/>
      <c r="E192" s="198"/>
      <c r="F192" s="198"/>
      <c r="G192" s="199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9"/>
      <c r="AA192" s="198"/>
      <c r="AB192" s="198"/>
      <c r="AC192" s="198"/>
      <c r="AD192" s="198"/>
      <c r="AE192" s="198"/>
      <c r="AF192" s="198"/>
      <c r="AG192" s="198"/>
      <c r="AH192" s="198"/>
      <c r="AI192" s="198"/>
      <c r="AJ192" s="198"/>
      <c r="AK192" s="198"/>
      <c r="AL192" s="198"/>
      <c r="AM192" s="198"/>
    </row>
    <row r="193" ht="15.75" customHeight="1">
      <c r="A193" s="198"/>
      <c r="B193" s="198"/>
      <c r="C193" s="198"/>
      <c r="D193" s="198"/>
      <c r="E193" s="198"/>
      <c r="F193" s="198"/>
      <c r="G193" s="199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9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</row>
    <row r="194" ht="15.75" customHeight="1">
      <c r="A194" s="198"/>
      <c r="B194" s="198"/>
      <c r="C194" s="198"/>
      <c r="D194" s="198"/>
      <c r="E194" s="198"/>
      <c r="F194" s="198"/>
      <c r="G194" s="199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9"/>
      <c r="AA194" s="198"/>
      <c r="AB194" s="198"/>
      <c r="AC194" s="198"/>
      <c r="AD194" s="198"/>
      <c r="AE194" s="198"/>
      <c r="AF194" s="198"/>
      <c r="AG194" s="198"/>
      <c r="AH194" s="198"/>
      <c r="AI194" s="198"/>
      <c r="AJ194" s="198"/>
      <c r="AK194" s="198"/>
      <c r="AL194" s="198"/>
      <c r="AM194" s="198"/>
    </row>
    <row r="195" ht="15.75" customHeight="1">
      <c r="A195" s="198"/>
      <c r="B195" s="198"/>
      <c r="C195" s="198"/>
      <c r="D195" s="198"/>
      <c r="E195" s="198"/>
      <c r="F195" s="198"/>
      <c r="G195" s="199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9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</row>
    <row r="196" ht="15.75" customHeight="1">
      <c r="A196" s="198"/>
      <c r="B196" s="198"/>
      <c r="C196" s="198"/>
      <c r="D196" s="198"/>
      <c r="E196" s="198"/>
      <c r="F196" s="198"/>
      <c r="G196" s="199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9"/>
      <c r="AA196" s="198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</row>
    <row r="197" ht="15.75" customHeight="1">
      <c r="A197" s="198"/>
      <c r="B197" s="198"/>
      <c r="C197" s="198"/>
      <c r="D197" s="198"/>
      <c r="E197" s="198"/>
      <c r="F197" s="198"/>
      <c r="G197" s="199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9"/>
      <c r="AA197" s="198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</row>
    <row r="198" ht="15.75" customHeight="1">
      <c r="A198" s="198"/>
      <c r="B198" s="198"/>
      <c r="C198" s="198"/>
      <c r="D198" s="198"/>
      <c r="E198" s="198"/>
      <c r="F198" s="198"/>
      <c r="G198" s="199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9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</row>
    <row r="199" ht="15.75" customHeight="1">
      <c r="A199" s="198"/>
      <c r="B199" s="198"/>
      <c r="C199" s="198"/>
      <c r="D199" s="198"/>
      <c r="E199" s="198"/>
      <c r="F199" s="198"/>
      <c r="G199" s="199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9"/>
      <c r="AA199" s="198"/>
      <c r="AB199" s="198"/>
      <c r="AC199" s="198"/>
      <c r="AD199" s="198"/>
      <c r="AE199" s="198"/>
      <c r="AF199" s="198"/>
      <c r="AG199" s="198"/>
      <c r="AH199" s="198"/>
      <c r="AI199" s="198"/>
      <c r="AJ199" s="198"/>
      <c r="AK199" s="198"/>
      <c r="AL199" s="198"/>
      <c r="AM199" s="198"/>
    </row>
    <row r="200" ht="15.75" customHeight="1">
      <c r="A200" s="198"/>
      <c r="B200" s="198"/>
      <c r="C200" s="198"/>
      <c r="D200" s="198"/>
      <c r="E200" s="198"/>
      <c r="F200" s="198"/>
      <c r="G200" s="199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9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</row>
    <row r="201" ht="15.75" customHeight="1">
      <c r="A201" s="198"/>
      <c r="B201" s="198"/>
      <c r="C201" s="198"/>
      <c r="D201" s="198"/>
      <c r="E201" s="198"/>
      <c r="F201" s="198"/>
      <c r="G201" s="199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9"/>
      <c r="AA201" s="198"/>
      <c r="AB201" s="198"/>
      <c r="AC201" s="198"/>
      <c r="AD201" s="198"/>
      <c r="AE201" s="198"/>
      <c r="AF201" s="198"/>
      <c r="AG201" s="198"/>
      <c r="AH201" s="198"/>
      <c r="AI201" s="198"/>
      <c r="AJ201" s="198"/>
      <c r="AK201" s="198"/>
      <c r="AL201" s="198"/>
      <c r="AM201" s="198"/>
    </row>
    <row r="202" ht="15.75" customHeight="1">
      <c r="A202" s="198"/>
      <c r="B202" s="198"/>
      <c r="C202" s="198"/>
      <c r="D202" s="198"/>
      <c r="E202" s="198"/>
      <c r="F202" s="198"/>
      <c r="G202" s="199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9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</row>
    <row r="203" ht="15.75" customHeight="1">
      <c r="A203" s="198"/>
      <c r="B203" s="198"/>
      <c r="C203" s="198"/>
      <c r="D203" s="198"/>
      <c r="E203" s="198"/>
      <c r="F203" s="198"/>
      <c r="G203" s="199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9"/>
      <c r="AA203" s="198"/>
      <c r="AB203" s="198"/>
      <c r="AC203" s="198"/>
      <c r="AD203" s="198"/>
      <c r="AE203" s="198"/>
      <c r="AF203" s="198"/>
      <c r="AG203" s="198"/>
      <c r="AH203" s="198"/>
      <c r="AI203" s="198"/>
      <c r="AJ203" s="198"/>
      <c r="AK203" s="198"/>
      <c r="AL203" s="198"/>
      <c r="AM203" s="198"/>
    </row>
    <row r="204" ht="15.75" customHeight="1">
      <c r="A204" s="198"/>
      <c r="B204" s="198"/>
      <c r="C204" s="198"/>
      <c r="D204" s="198"/>
      <c r="E204" s="198"/>
      <c r="F204" s="198"/>
      <c r="G204" s="199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9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</row>
    <row r="205" ht="15.75" customHeight="1">
      <c r="A205" s="198"/>
      <c r="B205" s="198"/>
      <c r="C205" s="198"/>
      <c r="D205" s="198"/>
      <c r="E205" s="198"/>
      <c r="F205" s="198"/>
      <c r="G205" s="199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9"/>
      <c r="AA205" s="198"/>
      <c r="AB205" s="198"/>
      <c r="AC205" s="198"/>
      <c r="AD205" s="198"/>
      <c r="AE205" s="198"/>
      <c r="AF205" s="198"/>
      <c r="AG205" s="198"/>
      <c r="AH205" s="198"/>
      <c r="AI205" s="198"/>
      <c r="AJ205" s="198"/>
      <c r="AK205" s="198"/>
      <c r="AL205" s="198"/>
      <c r="AM205" s="198"/>
    </row>
    <row r="206" ht="15.75" customHeight="1">
      <c r="A206" s="198"/>
      <c r="B206" s="198"/>
      <c r="C206" s="198"/>
      <c r="D206" s="198"/>
      <c r="E206" s="198"/>
      <c r="F206" s="198"/>
      <c r="G206" s="199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9"/>
      <c r="AA206" s="198"/>
      <c r="AB206" s="198"/>
      <c r="AC206" s="198"/>
      <c r="AD206" s="198"/>
      <c r="AE206" s="198"/>
      <c r="AF206" s="198"/>
      <c r="AG206" s="198"/>
      <c r="AH206" s="198"/>
      <c r="AI206" s="198"/>
      <c r="AJ206" s="198"/>
      <c r="AK206" s="198"/>
      <c r="AL206" s="198"/>
      <c r="AM206" s="198"/>
    </row>
    <row r="207" ht="15.75" customHeight="1">
      <c r="A207" s="198"/>
      <c r="B207" s="198"/>
      <c r="C207" s="198"/>
      <c r="D207" s="198"/>
      <c r="E207" s="198"/>
      <c r="F207" s="198"/>
      <c r="G207" s="199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8"/>
      <c r="AB207" s="198"/>
      <c r="AC207" s="198"/>
      <c r="AD207" s="198"/>
      <c r="AE207" s="198"/>
      <c r="AF207" s="198"/>
      <c r="AG207" s="198"/>
      <c r="AH207" s="198"/>
      <c r="AI207" s="198"/>
      <c r="AJ207" s="198"/>
      <c r="AK207" s="198"/>
      <c r="AL207" s="198"/>
      <c r="AM207" s="198"/>
    </row>
    <row r="208" ht="15.75" customHeight="1">
      <c r="A208" s="198"/>
      <c r="B208" s="198"/>
      <c r="C208" s="198"/>
      <c r="D208" s="198"/>
      <c r="E208" s="198"/>
      <c r="F208" s="198"/>
      <c r="G208" s="199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9"/>
      <c r="AA208" s="198"/>
      <c r="AB208" s="198"/>
      <c r="AC208" s="198"/>
      <c r="AD208" s="198"/>
      <c r="AE208" s="198"/>
      <c r="AF208" s="198"/>
      <c r="AG208" s="198"/>
      <c r="AH208" s="198"/>
      <c r="AI208" s="198"/>
      <c r="AJ208" s="198"/>
      <c r="AK208" s="198"/>
      <c r="AL208" s="198"/>
      <c r="AM208" s="198"/>
    </row>
    <row r="209" ht="15.75" customHeight="1">
      <c r="A209" s="198"/>
      <c r="B209" s="198"/>
      <c r="C209" s="198"/>
      <c r="D209" s="198"/>
      <c r="E209" s="198"/>
      <c r="F209" s="198"/>
      <c r="G209" s="199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9"/>
      <c r="AA209" s="198"/>
      <c r="AB209" s="198"/>
      <c r="AC209" s="198"/>
      <c r="AD209" s="198"/>
      <c r="AE209" s="198"/>
      <c r="AF209" s="198"/>
      <c r="AG209" s="198"/>
      <c r="AH209" s="198"/>
      <c r="AI209" s="198"/>
      <c r="AJ209" s="198"/>
      <c r="AK209" s="198"/>
      <c r="AL209" s="198"/>
      <c r="AM209" s="198"/>
    </row>
    <row r="210" ht="15.75" customHeight="1">
      <c r="A210" s="198"/>
      <c r="B210" s="198"/>
      <c r="C210" s="198"/>
      <c r="D210" s="198"/>
      <c r="E210" s="198"/>
      <c r="F210" s="198"/>
      <c r="G210" s="199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8"/>
      <c r="AB210" s="198"/>
      <c r="AC210" s="198"/>
      <c r="AD210" s="198"/>
      <c r="AE210" s="198"/>
      <c r="AF210" s="198"/>
      <c r="AG210" s="198"/>
      <c r="AH210" s="198"/>
      <c r="AI210" s="198"/>
      <c r="AJ210" s="198"/>
      <c r="AK210" s="198"/>
      <c r="AL210" s="198"/>
      <c r="AM210" s="198"/>
    </row>
    <row r="211" ht="15.75" customHeight="1">
      <c r="A211" s="198"/>
      <c r="B211" s="198"/>
      <c r="C211" s="198"/>
      <c r="D211" s="198"/>
      <c r="E211" s="198"/>
      <c r="F211" s="198"/>
      <c r="G211" s="199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8"/>
      <c r="AB211" s="198"/>
      <c r="AC211" s="198"/>
      <c r="AD211" s="198"/>
      <c r="AE211" s="198"/>
      <c r="AF211" s="198"/>
      <c r="AG211" s="198"/>
      <c r="AH211" s="198"/>
      <c r="AI211" s="198"/>
      <c r="AJ211" s="198"/>
      <c r="AK211" s="198"/>
      <c r="AL211" s="198"/>
      <c r="AM211" s="198"/>
    </row>
    <row r="212" ht="15.75" customHeight="1">
      <c r="A212" s="198"/>
      <c r="B212" s="198"/>
      <c r="C212" s="198"/>
      <c r="D212" s="198"/>
      <c r="E212" s="198"/>
      <c r="F212" s="198"/>
      <c r="G212" s="199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9"/>
      <c r="AA212" s="198"/>
      <c r="AB212" s="198"/>
      <c r="AC212" s="198"/>
      <c r="AD212" s="198"/>
      <c r="AE212" s="198"/>
      <c r="AF212" s="198"/>
      <c r="AG212" s="198"/>
      <c r="AH212" s="198"/>
      <c r="AI212" s="198"/>
      <c r="AJ212" s="198"/>
      <c r="AK212" s="198"/>
      <c r="AL212" s="198"/>
      <c r="AM212" s="198"/>
    </row>
    <row r="213" ht="15.75" customHeight="1">
      <c r="A213" s="198"/>
      <c r="B213" s="198"/>
      <c r="C213" s="198"/>
      <c r="D213" s="198"/>
      <c r="E213" s="198"/>
      <c r="F213" s="198"/>
      <c r="G213" s="199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9"/>
      <c r="AA213" s="198"/>
      <c r="AB213" s="198"/>
      <c r="AC213" s="198"/>
      <c r="AD213" s="198"/>
      <c r="AE213" s="198"/>
      <c r="AF213" s="198"/>
      <c r="AG213" s="198"/>
      <c r="AH213" s="198"/>
      <c r="AI213" s="198"/>
      <c r="AJ213" s="198"/>
      <c r="AK213" s="198"/>
      <c r="AL213" s="198"/>
      <c r="AM213" s="198"/>
    </row>
    <row r="214" ht="15.75" customHeight="1">
      <c r="A214" s="198"/>
      <c r="B214" s="198"/>
      <c r="C214" s="198"/>
      <c r="D214" s="198"/>
      <c r="E214" s="198"/>
      <c r="F214" s="198"/>
      <c r="G214" s="199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8"/>
      <c r="AB214" s="198"/>
      <c r="AC214" s="198"/>
      <c r="AD214" s="198"/>
      <c r="AE214" s="198"/>
      <c r="AF214" s="198"/>
      <c r="AG214" s="198"/>
      <c r="AH214" s="198"/>
      <c r="AI214" s="198"/>
      <c r="AJ214" s="198"/>
      <c r="AK214" s="198"/>
      <c r="AL214" s="198"/>
      <c r="AM214" s="198"/>
    </row>
    <row r="215" ht="15.75" customHeight="1">
      <c r="A215" s="198"/>
      <c r="B215" s="198"/>
      <c r="C215" s="198"/>
      <c r="D215" s="198"/>
      <c r="E215" s="198"/>
      <c r="F215" s="198"/>
      <c r="G215" s="199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9"/>
      <c r="AA215" s="198"/>
      <c r="AB215" s="198"/>
      <c r="AC215" s="198"/>
      <c r="AD215" s="198"/>
      <c r="AE215" s="198"/>
      <c r="AF215" s="198"/>
      <c r="AG215" s="198"/>
      <c r="AH215" s="198"/>
      <c r="AI215" s="198"/>
      <c r="AJ215" s="198"/>
      <c r="AK215" s="198"/>
      <c r="AL215" s="198"/>
      <c r="AM215" s="198"/>
    </row>
    <row r="216" ht="15.75" customHeight="1">
      <c r="A216" s="198"/>
      <c r="B216" s="198"/>
      <c r="C216" s="198"/>
      <c r="D216" s="198"/>
      <c r="E216" s="198"/>
      <c r="F216" s="198"/>
      <c r="G216" s="199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9"/>
      <c r="AA216" s="198"/>
      <c r="AB216" s="198"/>
      <c r="AC216" s="198"/>
      <c r="AD216" s="198"/>
      <c r="AE216" s="198"/>
      <c r="AF216" s="198"/>
      <c r="AG216" s="198"/>
      <c r="AH216" s="198"/>
      <c r="AI216" s="198"/>
      <c r="AJ216" s="198"/>
      <c r="AK216" s="198"/>
      <c r="AL216" s="198"/>
      <c r="AM216" s="198"/>
    </row>
    <row r="217" ht="15.75" customHeight="1">
      <c r="A217" s="198"/>
      <c r="B217" s="198"/>
      <c r="C217" s="198"/>
      <c r="D217" s="198"/>
      <c r="E217" s="198"/>
      <c r="F217" s="198"/>
      <c r="G217" s="199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9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</row>
    <row r="218" ht="15.75" customHeight="1">
      <c r="A218" s="198"/>
      <c r="B218" s="198"/>
      <c r="C218" s="198"/>
      <c r="D218" s="198"/>
      <c r="E218" s="198"/>
      <c r="F218" s="198"/>
      <c r="G218" s="199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9"/>
      <c r="AA218" s="198"/>
      <c r="AB218" s="198"/>
      <c r="AC218" s="198"/>
      <c r="AD218" s="198"/>
      <c r="AE218" s="198"/>
      <c r="AF218" s="198"/>
      <c r="AG218" s="198"/>
      <c r="AH218" s="198"/>
      <c r="AI218" s="198"/>
      <c r="AJ218" s="198"/>
      <c r="AK218" s="198"/>
      <c r="AL218" s="198"/>
      <c r="AM218" s="198"/>
    </row>
    <row r="219" ht="15.75" customHeight="1">
      <c r="A219" s="198"/>
      <c r="B219" s="198"/>
      <c r="C219" s="198"/>
      <c r="D219" s="198"/>
      <c r="E219" s="198"/>
      <c r="F219" s="198"/>
      <c r="G219" s="199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9"/>
      <c r="AA219" s="198"/>
      <c r="AB219" s="198"/>
      <c r="AC219" s="198"/>
      <c r="AD219" s="198"/>
      <c r="AE219" s="198"/>
      <c r="AF219" s="198"/>
      <c r="AG219" s="198"/>
      <c r="AH219" s="198"/>
      <c r="AI219" s="198"/>
      <c r="AJ219" s="198"/>
      <c r="AK219" s="198"/>
      <c r="AL219" s="198"/>
      <c r="AM219" s="198"/>
    </row>
    <row r="220" ht="15.75" customHeight="1">
      <c r="A220" s="198"/>
      <c r="B220" s="198"/>
      <c r="C220" s="198"/>
      <c r="D220" s="198"/>
      <c r="E220" s="198"/>
      <c r="F220" s="198"/>
      <c r="G220" s="199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9"/>
      <c r="AA220" s="198"/>
      <c r="AB220" s="198"/>
      <c r="AC220" s="198"/>
      <c r="AD220" s="198"/>
      <c r="AE220" s="198"/>
      <c r="AF220" s="198"/>
      <c r="AG220" s="198"/>
      <c r="AH220" s="198"/>
      <c r="AI220" s="198"/>
      <c r="AJ220" s="198"/>
      <c r="AK220" s="198"/>
      <c r="AL220" s="198"/>
      <c r="AM220" s="198"/>
    </row>
    <row r="221" ht="15.75" customHeight="1">
      <c r="A221" s="198"/>
      <c r="B221" s="198"/>
      <c r="C221" s="198"/>
      <c r="D221" s="198"/>
      <c r="E221" s="198"/>
      <c r="F221" s="198"/>
      <c r="G221" s="199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9"/>
      <c r="AA221" s="198"/>
      <c r="AB221" s="198"/>
      <c r="AC221" s="198"/>
      <c r="AD221" s="198"/>
      <c r="AE221" s="198"/>
      <c r="AF221" s="198"/>
      <c r="AG221" s="198"/>
      <c r="AH221" s="198"/>
      <c r="AI221" s="198"/>
      <c r="AJ221" s="198"/>
      <c r="AK221" s="198"/>
      <c r="AL221" s="198"/>
      <c r="AM221" s="198"/>
    </row>
    <row r="222" ht="15.75" customHeight="1">
      <c r="A222" s="198"/>
      <c r="B222" s="198"/>
      <c r="C222" s="198"/>
      <c r="D222" s="198"/>
      <c r="E222" s="198"/>
      <c r="F222" s="198"/>
      <c r="G222" s="199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9"/>
      <c r="AA222" s="198"/>
      <c r="AB222" s="198"/>
      <c r="AC222" s="198"/>
      <c r="AD222" s="198"/>
      <c r="AE222" s="198"/>
      <c r="AF222" s="198"/>
      <c r="AG222" s="198"/>
      <c r="AH222" s="198"/>
      <c r="AI222" s="198"/>
      <c r="AJ222" s="198"/>
      <c r="AK222" s="198"/>
      <c r="AL222" s="198"/>
      <c r="AM222" s="198"/>
    </row>
    <row r="223" ht="15.75" customHeight="1">
      <c r="A223" s="198"/>
      <c r="B223" s="198"/>
      <c r="C223" s="198"/>
      <c r="D223" s="198"/>
      <c r="E223" s="198"/>
      <c r="F223" s="198"/>
      <c r="G223" s="199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9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</row>
    <row r="224" ht="15.75" customHeight="1">
      <c r="A224" s="198"/>
      <c r="B224" s="198"/>
      <c r="C224" s="198"/>
      <c r="D224" s="198"/>
      <c r="E224" s="198"/>
      <c r="F224" s="198"/>
      <c r="G224" s="199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9"/>
      <c r="AA224" s="198"/>
      <c r="AB224" s="198"/>
      <c r="AC224" s="198"/>
      <c r="AD224" s="198"/>
      <c r="AE224" s="198"/>
      <c r="AF224" s="198"/>
      <c r="AG224" s="198"/>
      <c r="AH224" s="198"/>
      <c r="AI224" s="198"/>
      <c r="AJ224" s="198"/>
      <c r="AK224" s="198"/>
      <c r="AL224" s="198"/>
      <c r="AM224" s="198"/>
    </row>
    <row r="225" ht="15.75" customHeight="1">
      <c r="A225" s="198"/>
      <c r="B225" s="198"/>
      <c r="C225" s="198"/>
      <c r="D225" s="198"/>
      <c r="E225" s="198"/>
      <c r="F225" s="198"/>
      <c r="G225" s="199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9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</row>
    <row r="226" ht="15.75" customHeight="1">
      <c r="A226" s="198"/>
      <c r="B226" s="198"/>
      <c r="C226" s="198"/>
      <c r="D226" s="198"/>
      <c r="E226" s="198"/>
      <c r="F226" s="198"/>
      <c r="G226" s="199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9"/>
      <c r="AA226" s="198"/>
      <c r="AB226" s="198"/>
      <c r="AC226" s="198"/>
      <c r="AD226" s="198"/>
      <c r="AE226" s="198"/>
      <c r="AF226" s="198"/>
      <c r="AG226" s="198"/>
      <c r="AH226" s="198"/>
      <c r="AI226" s="198"/>
      <c r="AJ226" s="198"/>
      <c r="AK226" s="198"/>
      <c r="AL226" s="198"/>
      <c r="AM226" s="198"/>
    </row>
    <row r="227" ht="15.75" customHeight="1">
      <c r="A227" s="198"/>
      <c r="B227" s="198"/>
      <c r="C227" s="198"/>
      <c r="D227" s="198"/>
      <c r="E227" s="198"/>
      <c r="F227" s="198"/>
      <c r="G227" s="199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9"/>
      <c r="AA227" s="198"/>
      <c r="AB227" s="198"/>
      <c r="AC227" s="198"/>
      <c r="AD227" s="198"/>
      <c r="AE227" s="198"/>
      <c r="AF227" s="198"/>
      <c r="AG227" s="198"/>
      <c r="AH227" s="198"/>
      <c r="AI227" s="198"/>
      <c r="AJ227" s="198"/>
      <c r="AK227" s="198"/>
      <c r="AL227" s="198"/>
      <c r="AM227" s="198"/>
    </row>
    <row r="228" ht="15.75" customHeight="1">
      <c r="A228" s="198"/>
      <c r="B228" s="198"/>
      <c r="C228" s="198"/>
      <c r="D228" s="198"/>
      <c r="E228" s="198"/>
      <c r="F228" s="198"/>
      <c r="G228" s="199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9"/>
      <c r="AA228" s="198"/>
      <c r="AB228" s="198"/>
      <c r="AC228" s="198"/>
      <c r="AD228" s="198"/>
      <c r="AE228" s="198"/>
      <c r="AF228" s="198"/>
      <c r="AG228" s="198"/>
      <c r="AH228" s="198"/>
      <c r="AI228" s="198"/>
      <c r="AJ228" s="198"/>
      <c r="AK228" s="198"/>
      <c r="AL228" s="198"/>
      <c r="AM228" s="198"/>
    </row>
    <row r="229" ht="15.75" customHeight="1">
      <c r="A229" s="198"/>
      <c r="B229" s="198"/>
      <c r="C229" s="198"/>
      <c r="D229" s="198"/>
      <c r="E229" s="198"/>
      <c r="F229" s="198"/>
      <c r="G229" s="199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9"/>
      <c r="AA229" s="198"/>
      <c r="AB229" s="198"/>
      <c r="AC229" s="198"/>
      <c r="AD229" s="198"/>
      <c r="AE229" s="198"/>
      <c r="AF229" s="198"/>
      <c r="AG229" s="198"/>
      <c r="AH229" s="198"/>
      <c r="AI229" s="198"/>
      <c r="AJ229" s="198"/>
      <c r="AK229" s="198"/>
      <c r="AL229" s="198"/>
      <c r="AM229" s="198"/>
    </row>
    <row r="230" ht="15.75" customHeight="1">
      <c r="A230" s="198"/>
      <c r="B230" s="198"/>
      <c r="C230" s="198"/>
      <c r="D230" s="198"/>
      <c r="E230" s="198"/>
      <c r="F230" s="198"/>
      <c r="G230" s="199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9"/>
      <c r="AA230" s="198"/>
      <c r="AB230" s="198"/>
      <c r="AC230" s="198"/>
      <c r="AD230" s="198"/>
      <c r="AE230" s="198"/>
      <c r="AF230" s="198"/>
      <c r="AG230" s="198"/>
      <c r="AH230" s="198"/>
      <c r="AI230" s="198"/>
      <c r="AJ230" s="198"/>
      <c r="AK230" s="198"/>
      <c r="AL230" s="198"/>
      <c r="AM230" s="198"/>
    </row>
    <row r="231" ht="15.75" customHeight="1">
      <c r="A231" s="198"/>
      <c r="B231" s="198"/>
      <c r="C231" s="198"/>
      <c r="D231" s="198"/>
      <c r="E231" s="198"/>
      <c r="F231" s="198"/>
      <c r="G231" s="199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9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</row>
    <row r="232" ht="15.75" customHeight="1">
      <c r="A232" s="198"/>
      <c r="B232" s="198"/>
      <c r="C232" s="198"/>
      <c r="D232" s="198"/>
      <c r="E232" s="198"/>
      <c r="F232" s="198"/>
      <c r="G232" s="199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9"/>
      <c r="AA232" s="198"/>
      <c r="AB232" s="198"/>
      <c r="AC232" s="198"/>
      <c r="AD232" s="198"/>
      <c r="AE232" s="198"/>
      <c r="AF232" s="198"/>
      <c r="AG232" s="198"/>
      <c r="AH232" s="198"/>
      <c r="AI232" s="198"/>
      <c r="AJ232" s="198"/>
      <c r="AK232" s="198"/>
      <c r="AL232" s="198"/>
      <c r="AM232" s="198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24">
    <mergeCell ref="N2:R2"/>
    <mergeCell ref="M4:R4"/>
    <mergeCell ref="M5:R5"/>
    <mergeCell ref="A1:B1"/>
    <mergeCell ref="C1:D1"/>
    <mergeCell ref="E1:M1"/>
    <mergeCell ref="N1:R1"/>
    <mergeCell ref="C2:D2"/>
    <mergeCell ref="E2:M2"/>
    <mergeCell ref="C3:R3"/>
    <mergeCell ref="C5:D5"/>
    <mergeCell ref="E5:I5"/>
    <mergeCell ref="B24:D24"/>
    <mergeCell ref="B29:D29"/>
    <mergeCell ref="B30:D30"/>
    <mergeCell ref="B31:D31"/>
    <mergeCell ref="B32:D32"/>
    <mergeCell ref="A2:B2"/>
    <mergeCell ref="A3:B3"/>
    <mergeCell ref="A4:B4"/>
    <mergeCell ref="C4:D4"/>
    <mergeCell ref="E4:I4"/>
    <mergeCell ref="J4:L4"/>
    <mergeCell ref="A5:B5"/>
  </mergeCells>
  <dataValidations>
    <dataValidation type="list" allowBlank="1" showInputMessage="1" showErrorMessage="1" prompt=" - " sqref="E30:Y30">
      <formula1>"P,F"</formula1>
    </dataValidation>
    <dataValidation type="list" allowBlank="1" showInputMessage="1" showErrorMessage="1" prompt=" - " sqref="E8:Y28">
      <formula1>"O"</formula1>
    </dataValidation>
    <dataValidation type="list" allowBlank="1" showInputMessage="1" showErrorMessage="1" prompt=" - " sqref="E29:Y29">
      <formula1>"N,A,B"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5"/>
    <col customWidth="1" min="4" max="4" width="21.38"/>
    <col customWidth="1" min="5" max="21" width="4.88"/>
  </cols>
  <sheetData>
    <row r="1">
      <c r="A1" s="159" t="s">
        <v>195</v>
      </c>
      <c r="B1" s="160"/>
      <c r="C1" s="161" t="s">
        <v>196</v>
      </c>
      <c r="D1" s="162"/>
      <c r="E1" s="163" t="s">
        <v>197</v>
      </c>
      <c r="F1" s="160"/>
      <c r="G1" s="160"/>
      <c r="H1" s="160"/>
      <c r="I1" s="160"/>
      <c r="J1" s="160"/>
      <c r="K1" s="160"/>
      <c r="L1" s="160"/>
      <c r="M1" s="160"/>
      <c r="N1" s="164" t="s">
        <v>198</v>
      </c>
      <c r="O1" s="160"/>
      <c r="P1" s="160"/>
      <c r="Q1" s="160"/>
      <c r="R1" s="165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</row>
    <row r="2">
      <c r="A2" s="168" t="s">
        <v>199</v>
      </c>
      <c r="B2" s="169"/>
      <c r="C2" s="170" t="s">
        <v>159</v>
      </c>
      <c r="D2" s="169"/>
      <c r="E2" s="171" t="s">
        <v>200</v>
      </c>
      <c r="F2" s="172"/>
      <c r="G2" s="172"/>
      <c r="H2" s="172"/>
      <c r="I2" s="172"/>
      <c r="J2" s="172"/>
      <c r="K2" s="172"/>
      <c r="L2" s="172"/>
      <c r="M2" s="173"/>
      <c r="N2" s="174" t="s">
        <v>159</v>
      </c>
      <c r="O2" s="172"/>
      <c r="P2" s="172"/>
      <c r="Q2" s="172"/>
      <c r="R2" s="175"/>
      <c r="S2" s="178"/>
      <c r="T2" s="178"/>
      <c r="U2" s="178"/>
      <c r="V2" s="260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</row>
    <row r="3">
      <c r="A3" s="179" t="s">
        <v>201</v>
      </c>
      <c r="B3" s="17"/>
      <c r="C3" s="180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81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</row>
    <row r="4">
      <c r="A4" s="183" t="s">
        <v>164</v>
      </c>
      <c r="B4" s="17"/>
      <c r="C4" s="184" t="s">
        <v>165</v>
      </c>
      <c r="D4" s="17"/>
      <c r="E4" s="184" t="s">
        <v>166</v>
      </c>
      <c r="F4" s="16"/>
      <c r="G4" s="16"/>
      <c r="H4" s="16"/>
      <c r="I4" s="16"/>
      <c r="J4" s="185" t="s">
        <v>202</v>
      </c>
      <c r="K4" s="16"/>
      <c r="L4" s="16"/>
      <c r="M4" s="184" t="s">
        <v>169</v>
      </c>
      <c r="N4" s="16"/>
      <c r="O4" s="16"/>
      <c r="P4" s="16"/>
      <c r="Q4" s="16"/>
      <c r="R4" s="181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</row>
    <row r="5">
      <c r="A5" s="188">
        <f>COUNTIF(E40:HZ40,"P")</f>
        <v>13</v>
      </c>
      <c r="B5" s="189"/>
      <c r="C5" s="190">
        <f>COUNTIF(E40:HZ40,"F")</f>
        <v>0</v>
      </c>
      <c r="D5" s="189"/>
      <c r="E5" s="191">
        <f>SUM(M5,-A5,-C5)</f>
        <v>0</v>
      </c>
      <c r="F5" s="192"/>
      <c r="G5" s="192"/>
      <c r="H5" s="192"/>
      <c r="I5" s="192"/>
      <c r="J5" s="193">
        <f>COUNTIF(A39:HV39,"N")</f>
        <v>1</v>
      </c>
      <c r="K5" s="193">
        <f>COUNTIF(B39:HW39,"A")</f>
        <v>10</v>
      </c>
      <c r="L5" s="193">
        <f>COUNTIF(C39:HX39,"B")</f>
        <v>2</v>
      </c>
      <c r="M5" s="190">
        <f>COUNTA(A7:HN7)</f>
        <v>13</v>
      </c>
      <c r="N5" s="192"/>
      <c r="O5" s="192"/>
      <c r="P5" s="192"/>
      <c r="Q5" s="192"/>
      <c r="R5" s="194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</row>
    <row r="6">
      <c r="A6" s="198"/>
      <c r="B6" s="198"/>
      <c r="C6" s="198"/>
      <c r="D6" s="198"/>
      <c r="E6" s="198"/>
      <c r="F6" s="198"/>
      <c r="G6" s="199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9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</row>
    <row r="7" ht="48.0" customHeight="1">
      <c r="A7" s="200"/>
      <c r="B7" s="201"/>
      <c r="C7" s="201"/>
      <c r="D7" s="201"/>
      <c r="E7" s="202" t="s">
        <v>203</v>
      </c>
      <c r="F7" s="202" t="s">
        <v>204</v>
      </c>
      <c r="G7" s="202" t="s">
        <v>205</v>
      </c>
      <c r="H7" s="202" t="s">
        <v>206</v>
      </c>
      <c r="I7" s="202" t="s">
        <v>207</v>
      </c>
      <c r="J7" s="202" t="s">
        <v>208</v>
      </c>
      <c r="K7" s="202" t="s">
        <v>209</v>
      </c>
      <c r="L7" s="202" t="s">
        <v>210</v>
      </c>
      <c r="M7" s="202" t="s">
        <v>211</v>
      </c>
      <c r="N7" s="202" t="s">
        <v>212</v>
      </c>
      <c r="O7" s="202" t="s">
        <v>213</v>
      </c>
      <c r="P7" s="202" t="s">
        <v>214</v>
      </c>
      <c r="Q7" s="202" t="s">
        <v>215</v>
      </c>
      <c r="R7" s="198"/>
      <c r="S7" s="198"/>
      <c r="T7" s="198"/>
      <c r="U7" s="198"/>
      <c r="V7" s="199"/>
      <c r="W7" s="261"/>
      <c r="X7" s="198"/>
      <c r="Y7" s="198"/>
      <c r="Z7" s="198"/>
      <c r="AA7" s="198"/>
      <c r="AB7" s="203"/>
      <c r="AC7" s="203"/>
      <c r="AD7" s="203"/>
      <c r="AE7" s="203"/>
      <c r="AF7" s="203"/>
      <c r="AG7" s="203"/>
      <c r="AH7" s="203"/>
    </row>
    <row r="8">
      <c r="A8" s="204" t="s">
        <v>219</v>
      </c>
      <c r="B8" s="205" t="s">
        <v>220</v>
      </c>
      <c r="C8" s="262"/>
      <c r="D8" s="263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198"/>
      <c r="S8" s="198"/>
      <c r="T8" s="198"/>
      <c r="U8" s="198"/>
      <c r="V8" s="199"/>
      <c r="W8" s="199"/>
      <c r="X8" s="199"/>
      <c r="Y8" s="199"/>
      <c r="Z8" s="199"/>
      <c r="AA8" s="199"/>
      <c r="AB8" s="265"/>
      <c r="AC8" s="265"/>
      <c r="AD8" s="265"/>
      <c r="AE8" s="265"/>
      <c r="AF8" s="265"/>
      <c r="AG8" s="265"/>
      <c r="AH8" s="265"/>
    </row>
    <row r="9">
      <c r="A9" s="266"/>
      <c r="B9" s="267"/>
      <c r="C9" s="268"/>
      <c r="D9" s="213" t="s">
        <v>221</v>
      </c>
      <c r="E9" s="214" t="s">
        <v>222</v>
      </c>
      <c r="F9" s="214" t="s">
        <v>222</v>
      </c>
      <c r="G9" s="214" t="s">
        <v>222</v>
      </c>
      <c r="H9" s="214" t="s">
        <v>222</v>
      </c>
      <c r="I9" s="214" t="s">
        <v>222</v>
      </c>
      <c r="J9" s="214" t="s">
        <v>222</v>
      </c>
      <c r="K9" s="214" t="s">
        <v>222</v>
      </c>
      <c r="L9" s="214" t="s">
        <v>222</v>
      </c>
      <c r="M9" s="214"/>
      <c r="N9" s="214"/>
      <c r="O9" s="214"/>
      <c r="P9" s="214"/>
      <c r="Q9" s="214"/>
      <c r="R9" s="198"/>
      <c r="S9" s="198"/>
      <c r="T9" s="198"/>
      <c r="U9" s="198"/>
      <c r="V9" s="199"/>
      <c r="W9" s="269"/>
      <c r="X9" s="199"/>
      <c r="Y9" s="199"/>
      <c r="Z9" s="199"/>
      <c r="AA9" s="199"/>
      <c r="AB9" s="265"/>
      <c r="AC9" s="265"/>
      <c r="AD9" s="265"/>
      <c r="AE9" s="265"/>
      <c r="AF9" s="265"/>
      <c r="AG9" s="265"/>
      <c r="AH9" s="265"/>
    </row>
    <row r="10">
      <c r="A10" s="266"/>
      <c r="B10" s="215" t="s">
        <v>314</v>
      </c>
      <c r="C10" s="268"/>
      <c r="D10" s="303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198"/>
      <c r="S10" s="198"/>
      <c r="T10" s="198"/>
      <c r="U10" s="198"/>
      <c r="V10" s="199"/>
      <c r="W10" s="199"/>
      <c r="X10" s="199"/>
      <c r="Y10" s="199"/>
      <c r="Z10" s="199"/>
      <c r="AA10" s="199"/>
      <c r="AB10" s="265"/>
      <c r="AC10" s="265"/>
      <c r="AD10" s="265"/>
      <c r="AE10" s="265"/>
      <c r="AF10" s="265"/>
      <c r="AG10" s="265"/>
      <c r="AH10" s="265"/>
    </row>
    <row r="11">
      <c r="A11" s="266"/>
      <c r="B11" s="304"/>
      <c r="C11" s="305" t="s">
        <v>310</v>
      </c>
      <c r="D11" s="218">
        <v>1.0</v>
      </c>
      <c r="E11" s="209" t="s">
        <v>222</v>
      </c>
      <c r="F11" s="209" t="s">
        <v>222</v>
      </c>
      <c r="G11" s="209" t="s">
        <v>222</v>
      </c>
      <c r="H11" s="209" t="s">
        <v>222</v>
      </c>
      <c r="I11" s="209" t="s">
        <v>222</v>
      </c>
      <c r="J11" s="209" t="s">
        <v>222</v>
      </c>
      <c r="K11" s="209"/>
      <c r="L11" s="209"/>
      <c r="M11" s="209"/>
      <c r="N11" s="209"/>
      <c r="O11" s="209"/>
      <c r="P11" s="209"/>
      <c r="Q11" s="209"/>
      <c r="R11" s="198"/>
      <c r="S11" s="198"/>
      <c r="T11" s="198"/>
      <c r="U11" s="198"/>
      <c r="V11" s="199"/>
      <c r="W11" s="199"/>
      <c r="X11" s="199"/>
      <c r="Y11" s="199"/>
      <c r="Z11" s="199"/>
      <c r="AA11" s="199"/>
      <c r="AB11" s="265"/>
      <c r="AC11" s="265"/>
      <c r="AD11" s="265"/>
      <c r="AE11" s="265"/>
      <c r="AF11" s="265"/>
      <c r="AG11" s="265"/>
      <c r="AH11" s="265"/>
    </row>
    <row r="12">
      <c r="A12" s="266"/>
      <c r="B12" s="304"/>
      <c r="C12" s="305" t="s">
        <v>315</v>
      </c>
      <c r="D12" s="218">
        <v>9999.0</v>
      </c>
      <c r="E12" s="209"/>
      <c r="F12" s="209"/>
      <c r="G12" s="209"/>
      <c r="H12" s="209"/>
      <c r="I12" s="209"/>
      <c r="J12" s="209"/>
      <c r="K12" s="209" t="s">
        <v>222</v>
      </c>
      <c r="L12" s="209"/>
      <c r="M12" s="209"/>
      <c r="N12" s="209"/>
      <c r="O12" s="209"/>
      <c r="P12" s="209"/>
      <c r="Q12" s="209"/>
      <c r="R12" s="198"/>
      <c r="S12" s="198"/>
      <c r="T12" s="198"/>
      <c r="U12" s="198"/>
      <c r="V12" s="199"/>
      <c r="W12" s="199"/>
      <c r="X12" s="199"/>
      <c r="Y12" s="199"/>
      <c r="Z12" s="199"/>
      <c r="AA12" s="199"/>
      <c r="AB12" s="265"/>
      <c r="AC12" s="265"/>
      <c r="AD12" s="265"/>
      <c r="AE12" s="265"/>
      <c r="AF12" s="265"/>
      <c r="AG12" s="265"/>
      <c r="AH12" s="265"/>
    </row>
    <row r="13">
      <c r="A13" s="266"/>
      <c r="B13" s="221"/>
      <c r="C13" s="305" t="s">
        <v>316</v>
      </c>
      <c r="D13" s="218" t="s">
        <v>262</v>
      </c>
      <c r="E13" s="209"/>
      <c r="F13" s="209"/>
      <c r="G13" s="209"/>
      <c r="H13" s="209"/>
      <c r="I13" s="209"/>
      <c r="J13" s="209"/>
      <c r="K13" s="209"/>
      <c r="L13" s="209" t="s">
        <v>222</v>
      </c>
      <c r="M13" s="209"/>
      <c r="N13" s="209"/>
      <c r="O13" s="209"/>
      <c r="P13" s="209"/>
      <c r="Q13" s="209"/>
      <c r="R13" s="198"/>
      <c r="S13" s="198"/>
      <c r="T13" s="198"/>
      <c r="U13" s="198"/>
      <c r="V13" s="199"/>
      <c r="W13" s="199"/>
      <c r="X13" s="199"/>
      <c r="Y13" s="199"/>
      <c r="Z13" s="199"/>
      <c r="AA13" s="199"/>
      <c r="AB13" s="265"/>
      <c r="AC13" s="265"/>
      <c r="AD13" s="265"/>
      <c r="AE13" s="265"/>
      <c r="AF13" s="265"/>
      <c r="AG13" s="265"/>
      <c r="AH13" s="265"/>
    </row>
    <row r="14">
      <c r="A14" s="266"/>
      <c r="B14" s="215" t="s">
        <v>317</v>
      </c>
      <c r="C14" s="268"/>
      <c r="D14" s="303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198"/>
      <c r="S14" s="198"/>
      <c r="T14" s="198"/>
      <c r="U14" s="198"/>
      <c r="V14" s="199"/>
      <c r="W14" s="199"/>
      <c r="X14" s="199"/>
      <c r="Y14" s="199"/>
      <c r="Z14" s="199"/>
      <c r="AA14" s="199"/>
      <c r="AB14" s="265"/>
      <c r="AC14" s="265"/>
      <c r="AD14" s="265"/>
      <c r="AE14" s="265"/>
      <c r="AF14" s="265"/>
      <c r="AG14" s="265"/>
      <c r="AH14" s="265"/>
    </row>
    <row r="15">
      <c r="A15" s="210"/>
      <c r="B15" s="211"/>
      <c r="C15" s="305" t="s">
        <v>318</v>
      </c>
      <c r="D15" s="324">
        <v>4.0</v>
      </c>
      <c r="E15" s="209" t="s">
        <v>222</v>
      </c>
      <c r="F15" s="209" t="s">
        <v>222</v>
      </c>
      <c r="G15" s="209"/>
      <c r="H15" s="209" t="s">
        <v>222</v>
      </c>
      <c r="I15" s="209" t="s">
        <v>222</v>
      </c>
      <c r="J15" s="209" t="s">
        <v>222</v>
      </c>
      <c r="K15" s="209" t="s">
        <v>222</v>
      </c>
      <c r="L15" s="209" t="s">
        <v>222</v>
      </c>
      <c r="M15" s="209"/>
      <c r="N15" s="209"/>
      <c r="O15" s="209"/>
      <c r="P15" s="209"/>
      <c r="Q15" s="209"/>
      <c r="R15" s="198"/>
      <c r="S15" s="198"/>
      <c r="T15" s="198"/>
      <c r="U15" s="198"/>
      <c r="V15" s="199"/>
      <c r="W15" s="199"/>
      <c r="X15" s="199"/>
      <c r="Y15" s="199"/>
      <c r="Z15" s="198"/>
      <c r="AA15" s="198"/>
      <c r="AB15" s="198"/>
      <c r="AC15" s="198"/>
      <c r="AD15" s="198"/>
      <c r="AE15" s="203"/>
      <c r="AF15" s="203"/>
      <c r="AG15" s="203"/>
      <c r="AH15" s="203"/>
    </row>
    <row r="16">
      <c r="A16" s="210"/>
      <c r="B16" s="211"/>
      <c r="C16" s="217" t="s">
        <v>319</v>
      </c>
      <c r="D16" s="213" t="s">
        <v>262</v>
      </c>
      <c r="E16" s="209"/>
      <c r="F16" s="209"/>
      <c r="G16" s="209" t="s">
        <v>222</v>
      </c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198"/>
      <c r="S16" s="198"/>
      <c r="T16" s="198"/>
      <c r="U16" s="198"/>
      <c r="V16" s="199"/>
      <c r="W16" s="199"/>
      <c r="X16" s="199"/>
      <c r="Y16" s="199"/>
      <c r="Z16" s="198"/>
      <c r="AA16" s="198"/>
      <c r="AB16" s="198"/>
      <c r="AC16" s="198"/>
      <c r="AD16" s="198"/>
      <c r="AE16" s="203"/>
      <c r="AF16" s="203"/>
      <c r="AG16" s="203"/>
      <c r="AH16" s="203"/>
    </row>
    <row r="17" ht="15.75" customHeight="1">
      <c r="A17" s="270"/>
      <c r="B17" s="215" t="s">
        <v>320</v>
      </c>
      <c r="C17" s="271"/>
      <c r="D17" s="213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198"/>
      <c r="S17" s="198"/>
      <c r="T17" s="198"/>
      <c r="U17" s="198"/>
      <c r="V17" s="199"/>
      <c r="W17" s="199"/>
      <c r="X17" s="199"/>
      <c r="Y17" s="199"/>
      <c r="Z17" s="199"/>
      <c r="AA17" s="199"/>
      <c r="AB17" s="265"/>
      <c r="AC17" s="265"/>
      <c r="AD17" s="265"/>
      <c r="AE17" s="265"/>
      <c r="AF17" s="265"/>
      <c r="AG17" s="265"/>
      <c r="AH17" s="265"/>
    </row>
    <row r="18" ht="15.75" customHeight="1">
      <c r="A18" s="210"/>
      <c r="B18" s="211"/>
      <c r="C18" s="305" t="s">
        <v>321</v>
      </c>
      <c r="D18" s="218">
        <v>2.0</v>
      </c>
      <c r="E18" s="209" t="s">
        <v>222</v>
      </c>
      <c r="F18" s="209" t="s">
        <v>222</v>
      </c>
      <c r="G18" s="209" t="s">
        <v>222</v>
      </c>
      <c r="H18" s="209" t="s">
        <v>222</v>
      </c>
      <c r="I18" s="209" t="s">
        <v>222</v>
      </c>
      <c r="J18" s="209"/>
      <c r="K18" s="209" t="s">
        <v>222</v>
      </c>
      <c r="L18" s="209" t="s">
        <v>222</v>
      </c>
      <c r="M18" s="209"/>
      <c r="N18" s="209"/>
      <c r="O18" s="209"/>
      <c r="P18" s="209"/>
      <c r="Q18" s="209"/>
      <c r="R18" s="198"/>
      <c r="S18" s="198"/>
      <c r="T18" s="198"/>
      <c r="U18" s="198"/>
      <c r="V18" s="199"/>
      <c r="W18" s="198"/>
      <c r="X18" s="198"/>
      <c r="Y18" s="198"/>
      <c r="Z18" s="198"/>
      <c r="AA18" s="203"/>
      <c r="AB18" s="203"/>
      <c r="AC18" s="203"/>
      <c r="AD18" s="203"/>
      <c r="AE18" s="265"/>
      <c r="AF18" s="265"/>
      <c r="AG18" s="265"/>
      <c r="AH18" s="265"/>
    </row>
    <row r="19" ht="15.75" customHeight="1">
      <c r="A19" s="210"/>
      <c r="B19" s="211"/>
      <c r="C19" s="325" t="s">
        <v>322</v>
      </c>
      <c r="D19" s="213" t="s">
        <v>262</v>
      </c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198"/>
      <c r="S19" s="198"/>
      <c r="T19" s="198"/>
      <c r="U19" s="198"/>
      <c r="V19" s="199"/>
      <c r="W19" s="198"/>
      <c r="X19" s="198"/>
      <c r="Y19" s="198"/>
      <c r="Z19" s="198"/>
      <c r="AA19" s="203"/>
      <c r="AB19" s="203"/>
      <c r="AC19" s="203"/>
      <c r="AD19" s="203"/>
      <c r="AE19" s="265"/>
      <c r="AF19" s="265"/>
      <c r="AG19" s="265"/>
      <c r="AH19" s="265"/>
    </row>
    <row r="20" ht="15.75" customHeight="1">
      <c r="A20" s="210"/>
      <c r="B20" s="211"/>
      <c r="C20" s="325" t="s">
        <v>323</v>
      </c>
      <c r="D20" s="218">
        <v>3.0</v>
      </c>
      <c r="E20" s="209"/>
      <c r="F20" s="209"/>
      <c r="G20" s="209"/>
      <c r="H20" s="209"/>
      <c r="I20" s="209"/>
      <c r="J20" s="209" t="s">
        <v>222</v>
      </c>
      <c r="K20" s="209"/>
      <c r="L20" s="209"/>
      <c r="M20" s="209"/>
      <c r="N20" s="209"/>
      <c r="O20" s="209"/>
      <c r="P20" s="209"/>
      <c r="Q20" s="209"/>
      <c r="R20" s="198"/>
      <c r="S20" s="198"/>
      <c r="T20" s="198"/>
      <c r="U20" s="198"/>
      <c r="V20" s="199"/>
      <c r="W20" s="198"/>
      <c r="X20" s="198"/>
      <c r="Y20" s="198"/>
      <c r="Z20" s="198"/>
      <c r="AA20" s="203"/>
      <c r="AB20" s="203"/>
      <c r="AC20" s="203"/>
      <c r="AD20" s="203"/>
      <c r="AE20" s="265"/>
      <c r="AF20" s="265"/>
      <c r="AG20" s="265"/>
      <c r="AH20" s="265"/>
    </row>
    <row r="21" ht="15.75" customHeight="1">
      <c r="A21" s="210"/>
      <c r="B21" s="215" t="s">
        <v>324</v>
      </c>
      <c r="C21" s="271"/>
      <c r="D21" s="213"/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198"/>
      <c r="S21" s="198"/>
      <c r="T21" s="198"/>
      <c r="U21" s="198"/>
      <c r="V21" s="199"/>
      <c r="W21" s="198"/>
      <c r="X21" s="198"/>
      <c r="Y21" s="198"/>
      <c r="Z21" s="198"/>
      <c r="AA21" s="203"/>
      <c r="AB21" s="203"/>
      <c r="AC21" s="203"/>
      <c r="AD21" s="203"/>
      <c r="AE21" s="265"/>
      <c r="AF21" s="265"/>
      <c r="AG21" s="265"/>
      <c r="AH21" s="265"/>
    </row>
    <row r="22" ht="15.75" customHeight="1">
      <c r="A22" s="210"/>
      <c r="B22" s="211"/>
      <c r="C22" s="217" t="b">
        <v>1</v>
      </c>
      <c r="D22" s="218" t="b">
        <v>1</v>
      </c>
      <c r="E22" s="209" t="s">
        <v>222</v>
      </c>
      <c r="F22" s="209"/>
      <c r="G22" s="209" t="s">
        <v>222</v>
      </c>
      <c r="H22" s="209" t="s">
        <v>222</v>
      </c>
      <c r="I22" s="209"/>
      <c r="J22" s="209" t="s">
        <v>222</v>
      </c>
      <c r="K22" s="209" t="s">
        <v>222</v>
      </c>
      <c r="L22" s="209" t="s">
        <v>222</v>
      </c>
      <c r="M22" s="209"/>
      <c r="N22" s="209"/>
      <c r="O22" s="209"/>
      <c r="P22" s="209"/>
      <c r="Q22" s="209"/>
      <c r="R22" s="198"/>
      <c r="S22" s="198"/>
      <c r="T22" s="198"/>
      <c r="U22" s="198"/>
      <c r="V22" s="199"/>
      <c r="W22" s="198"/>
      <c r="X22" s="198"/>
      <c r="Y22" s="198"/>
      <c r="Z22" s="198"/>
      <c r="AA22" s="203"/>
      <c r="AB22" s="203"/>
      <c r="AC22" s="203"/>
      <c r="AD22" s="203"/>
      <c r="AE22" s="265"/>
      <c r="AF22" s="265"/>
      <c r="AG22" s="265"/>
      <c r="AH22" s="265"/>
    </row>
    <row r="23" ht="15.75" customHeight="1">
      <c r="A23" s="220"/>
      <c r="B23" s="211"/>
      <c r="C23" s="217" t="b">
        <v>0</v>
      </c>
      <c r="D23" s="218" t="b">
        <v>0</v>
      </c>
      <c r="E23" s="209"/>
      <c r="F23" s="209" t="s">
        <v>222</v>
      </c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198"/>
      <c r="S23" s="198"/>
      <c r="T23" s="198"/>
      <c r="U23" s="198"/>
      <c r="V23" s="199"/>
      <c r="W23" s="198"/>
      <c r="X23" s="198"/>
      <c r="Y23" s="198"/>
      <c r="Z23" s="198"/>
      <c r="AA23" s="203"/>
      <c r="AB23" s="203"/>
      <c r="AC23" s="203"/>
      <c r="AD23" s="203"/>
      <c r="AE23" s="265"/>
      <c r="AF23" s="265"/>
      <c r="AG23" s="265"/>
      <c r="AH23" s="265"/>
    </row>
    <row r="24" ht="15.75" customHeight="1">
      <c r="A24" s="220"/>
      <c r="B24" s="211"/>
      <c r="C24" s="217" t="s">
        <v>325</v>
      </c>
      <c r="D24" s="213" t="s">
        <v>262</v>
      </c>
      <c r="E24" s="209"/>
      <c r="F24" s="209"/>
      <c r="G24" s="209"/>
      <c r="H24" s="209"/>
      <c r="I24" s="209" t="s">
        <v>222</v>
      </c>
      <c r="J24" s="209"/>
      <c r="K24" s="209"/>
      <c r="L24" s="209"/>
      <c r="M24" s="209"/>
      <c r="N24" s="209"/>
      <c r="O24" s="209"/>
      <c r="P24" s="209"/>
      <c r="Q24" s="209"/>
      <c r="R24" s="198"/>
      <c r="S24" s="198"/>
      <c r="T24" s="198"/>
      <c r="U24" s="198"/>
      <c r="V24" s="199"/>
      <c r="W24" s="198"/>
      <c r="X24" s="198"/>
      <c r="Y24" s="198"/>
      <c r="Z24" s="198"/>
      <c r="AA24" s="198"/>
      <c r="AB24" s="198"/>
      <c r="AC24" s="203"/>
      <c r="AD24" s="203"/>
      <c r="AE24" s="203"/>
      <c r="AF24" s="203"/>
      <c r="AG24" s="265"/>
      <c r="AH24" s="265"/>
    </row>
    <row r="25" ht="15.75" customHeight="1">
      <c r="A25" s="226" t="s">
        <v>238</v>
      </c>
      <c r="B25" s="227" t="s">
        <v>239</v>
      </c>
      <c r="C25" s="228"/>
      <c r="D25" s="22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198"/>
      <c r="S25" s="198"/>
      <c r="T25" s="198"/>
      <c r="U25" s="198"/>
      <c r="V25" s="199"/>
      <c r="W25" s="199"/>
      <c r="X25" s="199"/>
      <c r="Y25" s="199"/>
      <c r="Z25" s="199"/>
      <c r="AA25" s="199"/>
      <c r="AB25" s="265"/>
      <c r="AC25" s="265"/>
      <c r="AD25" s="265"/>
      <c r="AE25" s="265"/>
      <c r="AF25" s="265"/>
      <c r="AG25" s="265"/>
      <c r="AH25" s="265"/>
    </row>
    <row r="26" ht="15.75" customHeight="1">
      <c r="A26" s="307"/>
      <c r="B26" s="231"/>
      <c r="C26" s="228"/>
      <c r="D26" s="232" t="b">
        <v>1</v>
      </c>
      <c r="E26" s="214" t="s">
        <v>222</v>
      </c>
      <c r="F26" s="209" t="s">
        <v>222</v>
      </c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198"/>
      <c r="S26" s="198"/>
      <c r="T26" s="198"/>
      <c r="U26" s="198"/>
      <c r="V26" s="199"/>
      <c r="W26" s="199"/>
      <c r="X26" s="199"/>
      <c r="Y26" s="199"/>
      <c r="Z26" s="199"/>
      <c r="AA26" s="199"/>
      <c r="AB26" s="265"/>
      <c r="AC26" s="265"/>
      <c r="AD26" s="265"/>
      <c r="AE26" s="265"/>
      <c r="AF26" s="265"/>
      <c r="AG26" s="265"/>
      <c r="AH26" s="265"/>
    </row>
    <row r="27" ht="15.75" customHeight="1">
      <c r="A27" s="307"/>
      <c r="B27" s="234"/>
      <c r="C27" s="235"/>
      <c r="D27" s="232" t="b">
        <v>0</v>
      </c>
      <c r="E27" s="274"/>
      <c r="F27" s="276"/>
      <c r="G27" s="209" t="s">
        <v>222</v>
      </c>
      <c r="H27" s="209" t="s">
        <v>222</v>
      </c>
      <c r="I27" s="209" t="s">
        <v>222</v>
      </c>
      <c r="J27" s="209" t="s">
        <v>222</v>
      </c>
      <c r="K27" s="209" t="s">
        <v>222</v>
      </c>
      <c r="L27" s="209" t="s">
        <v>222</v>
      </c>
      <c r="M27" s="276"/>
      <c r="N27" s="276"/>
      <c r="O27" s="276"/>
      <c r="P27" s="276"/>
      <c r="Q27" s="276"/>
      <c r="R27" s="198"/>
      <c r="S27" s="198"/>
      <c r="T27" s="198"/>
      <c r="U27" s="198"/>
      <c r="V27" s="199"/>
      <c r="W27" s="199"/>
      <c r="X27" s="199"/>
      <c r="Y27" s="199"/>
      <c r="Z27" s="199"/>
      <c r="AA27" s="199"/>
      <c r="AB27" s="265"/>
      <c r="AC27" s="265"/>
      <c r="AD27" s="265"/>
      <c r="AE27" s="265"/>
      <c r="AF27" s="265"/>
      <c r="AG27" s="265"/>
      <c r="AH27" s="265"/>
    </row>
    <row r="28" ht="15.75" customHeight="1">
      <c r="A28" s="307"/>
      <c r="B28" s="236" t="s">
        <v>240</v>
      </c>
      <c r="C28" s="277"/>
      <c r="D28" s="278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198"/>
      <c r="S28" s="198"/>
      <c r="T28" s="198"/>
      <c r="U28" s="198"/>
      <c r="V28" s="199"/>
      <c r="W28" s="199"/>
      <c r="X28" s="199"/>
      <c r="Y28" s="199"/>
      <c r="Z28" s="199"/>
      <c r="AA28" s="199"/>
      <c r="AB28" s="265"/>
      <c r="AC28" s="265"/>
      <c r="AD28" s="265"/>
      <c r="AE28" s="265"/>
      <c r="AF28" s="265"/>
      <c r="AG28" s="265"/>
      <c r="AH28" s="265"/>
    </row>
    <row r="29" ht="15.75" customHeight="1">
      <c r="A29" s="307"/>
      <c r="B29" s="237"/>
      <c r="C29" s="280"/>
      <c r="D29" s="281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198"/>
      <c r="S29" s="198"/>
      <c r="T29" s="198"/>
      <c r="U29" s="198"/>
      <c r="V29" s="199"/>
      <c r="W29" s="199"/>
      <c r="X29" s="199"/>
      <c r="Y29" s="199"/>
      <c r="Z29" s="199"/>
      <c r="AA29" s="199"/>
      <c r="AB29" s="265"/>
      <c r="AC29" s="265"/>
      <c r="AD29" s="265"/>
      <c r="AE29" s="265"/>
      <c r="AF29" s="265"/>
      <c r="AG29" s="265"/>
      <c r="AH29" s="265"/>
    </row>
    <row r="30" ht="15.75" customHeight="1">
      <c r="A30" s="307"/>
      <c r="B30" s="238"/>
      <c r="C30" s="16"/>
      <c r="D30" s="17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198"/>
      <c r="S30" s="198"/>
      <c r="T30" s="198"/>
      <c r="U30" s="198"/>
      <c r="V30" s="199"/>
      <c r="W30" s="199"/>
      <c r="X30" s="199"/>
      <c r="Y30" s="199"/>
      <c r="Z30" s="199"/>
      <c r="AA30" s="199"/>
      <c r="AB30" s="265"/>
      <c r="AC30" s="265"/>
      <c r="AD30" s="265"/>
      <c r="AE30" s="265"/>
      <c r="AF30" s="265"/>
      <c r="AG30" s="265"/>
      <c r="AH30" s="265"/>
    </row>
    <row r="31" ht="15.75" customHeight="1">
      <c r="A31" s="307"/>
      <c r="B31" s="227" t="s">
        <v>241</v>
      </c>
      <c r="C31" s="228"/>
      <c r="D31" s="229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198"/>
      <c r="S31" s="198"/>
      <c r="T31" s="198"/>
      <c r="U31" s="198"/>
      <c r="V31" s="199"/>
      <c r="W31" s="199"/>
      <c r="X31" s="199"/>
      <c r="Y31" s="199"/>
      <c r="Z31" s="199"/>
      <c r="AA31" s="199"/>
      <c r="AB31" s="265"/>
      <c r="AC31" s="265"/>
      <c r="AD31" s="265"/>
      <c r="AE31" s="265"/>
      <c r="AF31" s="265"/>
      <c r="AG31" s="265"/>
      <c r="AH31" s="265"/>
    </row>
    <row r="32" ht="21.75" customHeight="1">
      <c r="A32" s="308"/>
      <c r="B32" s="288"/>
      <c r="C32" s="309"/>
      <c r="D32" s="243" t="s">
        <v>326</v>
      </c>
      <c r="E32" s="209" t="s">
        <v>222</v>
      </c>
      <c r="F32" s="209" t="s">
        <v>222</v>
      </c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198"/>
      <c r="S32" s="198"/>
      <c r="T32" s="198"/>
      <c r="U32" s="198"/>
      <c r="V32" s="199"/>
      <c r="W32" s="199"/>
      <c r="X32" s="199"/>
      <c r="Y32" s="199"/>
      <c r="Z32" s="199"/>
      <c r="AA32" s="199"/>
      <c r="AB32" s="265"/>
      <c r="AC32" s="265"/>
      <c r="AD32" s="265"/>
      <c r="AE32" s="265"/>
      <c r="AF32" s="265"/>
      <c r="AG32" s="265"/>
      <c r="AH32" s="265"/>
    </row>
    <row r="33" ht="21.75" customHeight="1">
      <c r="A33" s="310"/>
      <c r="B33" s="288"/>
      <c r="C33" s="309"/>
      <c r="D33" s="290" t="s">
        <v>327</v>
      </c>
      <c r="E33" s="209"/>
      <c r="F33" s="209"/>
      <c r="G33" s="209" t="s">
        <v>222</v>
      </c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198"/>
      <c r="S33" s="198"/>
      <c r="T33" s="198"/>
      <c r="U33" s="198"/>
      <c r="V33" s="199"/>
      <c r="W33" s="199"/>
      <c r="X33" s="199"/>
      <c r="Y33" s="199"/>
      <c r="Z33" s="199"/>
      <c r="AA33" s="199"/>
      <c r="AB33" s="265"/>
      <c r="AC33" s="265"/>
      <c r="AD33" s="265"/>
      <c r="AE33" s="265"/>
      <c r="AF33" s="265"/>
      <c r="AG33" s="265"/>
      <c r="AH33" s="265"/>
    </row>
    <row r="34" ht="15.75" customHeight="1">
      <c r="A34" s="310"/>
      <c r="B34" s="283"/>
      <c r="C34" s="309"/>
      <c r="D34" s="290" t="s">
        <v>328</v>
      </c>
      <c r="E34" s="209"/>
      <c r="F34" s="209"/>
      <c r="G34" s="209"/>
      <c r="H34" s="209" t="s">
        <v>222</v>
      </c>
      <c r="I34" s="209"/>
      <c r="J34" s="209"/>
      <c r="K34" s="209"/>
      <c r="L34" s="209"/>
      <c r="M34" s="209"/>
      <c r="N34" s="209"/>
      <c r="O34" s="209"/>
      <c r="P34" s="209"/>
      <c r="Q34" s="209"/>
      <c r="R34" s="198"/>
      <c r="S34" s="198"/>
      <c r="T34" s="198"/>
      <c r="U34" s="198"/>
      <c r="V34" s="199"/>
      <c r="W34" s="199"/>
      <c r="X34" s="199"/>
      <c r="Y34" s="199"/>
      <c r="Z34" s="199"/>
      <c r="AA34" s="199"/>
      <c r="AB34" s="265"/>
      <c r="AC34" s="265"/>
      <c r="AD34" s="265"/>
      <c r="AE34" s="265"/>
      <c r="AF34" s="265"/>
      <c r="AG34" s="265"/>
      <c r="AH34" s="265"/>
    </row>
    <row r="35" ht="21.75" customHeight="1">
      <c r="A35" s="297"/>
      <c r="B35" s="180"/>
      <c r="C35" s="298"/>
      <c r="D35" s="326" t="s">
        <v>329</v>
      </c>
      <c r="E35" s="209"/>
      <c r="F35" s="209"/>
      <c r="G35" s="209"/>
      <c r="H35" s="209"/>
      <c r="I35" s="209" t="s">
        <v>222</v>
      </c>
      <c r="J35" s="209"/>
      <c r="K35" s="209"/>
      <c r="L35" s="209"/>
      <c r="M35" s="209"/>
      <c r="N35" s="209"/>
      <c r="O35" s="209"/>
      <c r="P35" s="209"/>
      <c r="Q35" s="209"/>
      <c r="R35" s="198"/>
      <c r="S35" s="198"/>
      <c r="T35" s="198"/>
      <c r="U35" s="198"/>
      <c r="V35" s="198"/>
      <c r="W35" s="198"/>
      <c r="X35" s="198"/>
      <c r="Y35" s="198"/>
      <c r="Z35" s="203"/>
      <c r="AA35" s="203"/>
      <c r="AB35" s="203"/>
      <c r="AC35" s="203"/>
      <c r="AD35" s="265"/>
      <c r="AE35" s="265"/>
      <c r="AF35" s="265"/>
      <c r="AG35" s="265"/>
      <c r="AH35" s="265"/>
    </row>
    <row r="36" ht="15.75" customHeight="1">
      <c r="A36" s="287"/>
      <c r="B36" s="327"/>
      <c r="C36" s="289"/>
      <c r="D36" s="290" t="s">
        <v>330</v>
      </c>
      <c r="E36" s="209"/>
      <c r="F36" s="209"/>
      <c r="G36" s="209"/>
      <c r="H36" s="209"/>
      <c r="I36" s="209"/>
      <c r="J36" s="209" t="s">
        <v>222</v>
      </c>
      <c r="K36" s="209"/>
      <c r="L36" s="209"/>
      <c r="M36" s="209"/>
      <c r="N36" s="209"/>
      <c r="O36" s="209"/>
      <c r="P36" s="209"/>
      <c r="Q36" s="209"/>
      <c r="R36" s="198"/>
      <c r="S36" s="198"/>
      <c r="T36" s="198"/>
      <c r="U36" s="198"/>
      <c r="V36" s="198"/>
      <c r="W36" s="199"/>
      <c r="X36" s="199"/>
      <c r="Y36" s="199"/>
      <c r="Z36" s="199"/>
      <c r="AA36" s="199"/>
      <c r="AB36" s="265"/>
      <c r="AC36" s="265"/>
      <c r="AD36" s="265"/>
      <c r="AE36" s="265"/>
      <c r="AF36" s="265"/>
      <c r="AG36" s="265"/>
      <c r="AH36" s="265"/>
    </row>
    <row r="37" ht="15.75" customHeight="1">
      <c r="A37" s="282"/>
      <c r="B37" s="327"/>
      <c r="C37" s="328"/>
      <c r="D37" s="329" t="s">
        <v>246</v>
      </c>
      <c r="E37" s="223"/>
      <c r="F37" s="223"/>
      <c r="G37" s="223"/>
      <c r="H37" s="223"/>
      <c r="I37" s="223"/>
      <c r="J37" s="223"/>
      <c r="K37" s="209" t="s">
        <v>222</v>
      </c>
      <c r="L37" s="223"/>
      <c r="M37" s="223"/>
      <c r="N37" s="223"/>
      <c r="O37" s="223"/>
      <c r="P37" s="223"/>
      <c r="Q37" s="223"/>
      <c r="R37" s="198"/>
      <c r="S37" s="198"/>
      <c r="T37" s="198"/>
      <c r="U37" s="198"/>
      <c r="V37" s="198"/>
      <c r="W37" s="199"/>
      <c r="X37" s="199"/>
      <c r="Y37" s="199"/>
      <c r="Z37" s="199"/>
      <c r="AA37" s="199"/>
      <c r="AB37" s="265"/>
      <c r="AC37" s="265"/>
      <c r="AD37" s="265"/>
      <c r="AE37" s="265"/>
      <c r="AF37" s="265"/>
      <c r="AG37" s="265"/>
      <c r="AH37" s="265"/>
    </row>
    <row r="38" ht="15.75" customHeight="1">
      <c r="A38" s="282"/>
      <c r="B38" s="327"/>
      <c r="C38" s="328"/>
      <c r="D38" s="329" t="s">
        <v>300</v>
      </c>
      <c r="E38" s="223"/>
      <c r="F38" s="223"/>
      <c r="G38" s="223"/>
      <c r="H38" s="223"/>
      <c r="I38" s="223"/>
      <c r="J38" s="223"/>
      <c r="K38" s="223"/>
      <c r="L38" s="209" t="s">
        <v>222</v>
      </c>
      <c r="M38" s="223"/>
      <c r="N38" s="223"/>
      <c r="O38" s="223"/>
      <c r="P38" s="223"/>
      <c r="Q38" s="223"/>
      <c r="R38" s="198"/>
      <c r="S38" s="198"/>
      <c r="T38" s="198"/>
      <c r="U38" s="198"/>
      <c r="V38" s="198"/>
      <c r="W38" s="199"/>
      <c r="X38" s="199"/>
      <c r="Y38" s="199"/>
      <c r="Z38" s="199"/>
      <c r="AA38" s="199"/>
      <c r="AB38" s="265"/>
      <c r="AC38" s="265"/>
      <c r="AD38" s="265"/>
      <c r="AE38" s="265"/>
      <c r="AF38" s="265"/>
      <c r="AG38" s="265"/>
      <c r="AH38" s="265"/>
    </row>
    <row r="39" ht="15.75" customHeight="1">
      <c r="A39" s="226" t="s">
        <v>249</v>
      </c>
      <c r="B39" s="245" t="s">
        <v>250</v>
      </c>
      <c r="C39" s="246"/>
      <c r="D39" s="247"/>
      <c r="E39" s="248" t="s">
        <v>167</v>
      </c>
      <c r="F39" s="248" t="s">
        <v>62</v>
      </c>
      <c r="G39" s="248" t="s">
        <v>62</v>
      </c>
      <c r="H39" s="248" t="s">
        <v>62</v>
      </c>
      <c r="I39" s="248" t="s">
        <v>62</v>
      </c>
      <c r="J39" s="248" t="s">
        <v>62</v>
      </c>
      <c r="K39" s="248" t="s">
        <v>62</v>
      </c>
      <c r="L39" s="248" t="s">
        <v>62</v>
      </c>
      <c r="M39" s="248" t="s">
        <v>62</v>
      </c>
      <c r="N39" s="248" t="s">
        <v>62</v>
      </c>
      <c r="O39" s="248" t="s">
        <v>168</v>
      </c>
      <c r="P39" s="248" t="s">
        <v>62</v>
      </c>
      <c r="Q39" s="248" t="s">
        <v>168</v>
      </c>
      <c r="R39" s="198"/>
      <c r="S39" s="198"/>
      <c r="T39" s="198"/>
      <c r="U39" s="198"/>
      <c r="V39" s="199"/>
      <c r="W39" s="198"/>
      <c r="X39" s="198"/>
      <c r="Y39" s="198"/>
      <c r="Z39" s="198"/>
      <c r="AA39" s="198"/>
      <c r="AB39" s="203"/>
      <c r="AC39" s="203"/>
      <c r="AD39" s="203"/>
      <c r="AE39" s="203"/>
      <c r="AF39" s="203"/>
      <c r="AG39" s="203"/>
      <c r="AH39" s="203"/>
    </row>
    <row r="40" ht="15.75" customHeight="1">
      <c r="A40" s="241"/>
      <c r="B40" s="249" t="s">
        <v>251</v>
      </c>
      <c r="C40" s="16"/>
      <c r="D40" s="17"/>
      <c r="E40" s="250" t="s">
        <v>252</v>
      </c>
      <c r="F40" s="250" t="s">
        <v>252</v>
      </c>
      <c r="G40" s="250" t="s">
        <v>252</v>
      </c>
      <c r="H40" s="250" t="s">
        <v>252</v>
      </c>
      <c r="I40" s="250" t="s">
        <v>252</v>
      </c>
      <c r="J40" s="250" t="s">
        <v>252</v>
      </c>
      <c r="K40" s="250" t="s">
        <v>252</v>
      </c>
      <c r="L40" s="250" t="s">
        <v>252</v>
      </c>
      <c r="M40" s="250" t="s">
        <v>252</v>
      </c>
      <c r="N40" s="250" t="s">
        <v>252</v>
      </c>
      <c r="O40" s="250" t="s">
        <v>252</v>
      </c>
      <c r="P40" s="250" t="s">
        <v>252</v>
      </c>
      <c r="Q40" s="250" t="s">
        <v>252</v>
      </c>
      <c r="R40" s="198"/>
      <c r="S40" s="198"/>
      <c r="T40" s="198"/>
      <c r="U40" s="198"/>
      <c r="V40" s="199"/>
      <c r="W40" s="198"/>
      <c r="X40" s="198"/>
      <c r="Y40" s="198"/>
      <c r="Z40" s="198"/>
      <c r="AA40" s="198"/>
      <c r="AB40" s="203"/>
      <c r="AC40" s="203"/>
      <c r="AD40" s="203"/>
      <c r="AE40" s="203"/>
      <c r="AF40" s="203"/>
      <c r="AG40" s="203"/>
      <c r="AH40" s="203"/>
    </row>
    <row r="41" ht="15.75" customHeight="1">
      <c r="A41" s="241"/>
      <c r="B41" s="251" t="s">
        <v>253</v>
      </c>
      <c r="C41" s="16"/>
      <c r="D41" s="17"/>
      <c r="E41" s="252">
        <v>45932.0</v>
      </c>
      <c r="F41" s="252">
        <v>45932.0</v>
      </c>
      <c r="G41" s="252">
        <v>45932.0</v>
      </c>
      <c r="H41" s="252">
        <v>45932.0</v>
      </c>
      <c r="I41" s="252">
        <v>45932.0</v>
      </c>
      <c r="J41" s="252">
        <v>45932.0</v>
      </c>
      <c r="K41" s="252">
        <v>45932.0</v>
      </c>
      <c r="L41" s="252">
        <v>45932.0</v>
      </c>
      <c r="M41" s="252">
        <v>45932.0</v>
      </c>
      <c r="N41" s="252">
        <v>45932.0</v>
      </c>
      <c r="O41" s="252">
        <v>45932.0</v>
      </c>
      <c r="P41" s="252">
        <v>45932.0</v>
      </c>
      <c r="Q41" s="252">
        <v>45932.0</v>
      </c>
      <c r="R41" s="198"/>
      <c r="S41" s="198"/>
      <c r="T41" s="198"/>
      <c r="U41" s="198"/>
      <c r="V41" s="199"/>
      <c r="W41" s="198"/>
      <c r="X41" s="198"/>
      <c r="Y41" s="198"/>
      <c r="Z41" s="198"/>
      <c r="AA41" s="198"/>
      <c r="AB41" s="203"/>
      <c r="AC41" s="203"/>
      <c r="AD41" s="203"/>
      <c r="AE41" s="203"/>
      <c r="AF41" s="203"/>
      <c r="AG41" s="203"/>
      <c r="AH41" s="203"/>
    </row>
    <row r="42" ht="74.25" customHeight="1">
      <c r="A42" s="253"/>
      <c r="B42" s="254" t="s">
        <v>254</v>
      </c>
      <c r="C42" s="255"/>
      <c r="D42" s="256"/>
      <c r="E42" s="257"/>
      <c r="F42" s="258"/>
      <c r="G42" s="259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198"/>
      <c r="S42" s="198"/>
      <c r="T42" s="198"/>
      <c r="U42" s="198"/>
      <c r="V42" s="199"/>
      <c r="W42" s="198"/>
      <c r="X42" s="198"/>
      <c r="Y42" s="198"/>
      <c r="Z42" s="198"/>
      <c r="AA42" s="198"/>
      <c r="AB42" s="203"/>
      <c r="AC42" s="203"/>
      <c r="AD42" s="203"/>
      <c r="AE42" s="203"/>
      <c r="AF42" s="203"/>
      <c r="AG42" s="203"/>
      <c r="AH42" s="203"/>
    </row>
    <row r="43" ht="15.75" customHeight="1">
      <c r="A43" s="198"/>
      <c r="B43" s="198"/>
      <c r="C43" s="198"/>
      <c r="D43" s="198"/>
      <c r="E43" s="198"/>
      <c r="F43" s="198"/>
      <c r="G43" s="199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9"/>
      <c r="W43" s="198"/>
      <c r="X43" s="198"/>
      <c r="Y43" s="198"/>
      <c r="Z43" s="198"/>
      <c r="AA43" s="198"/>
      <c r="AB43" s="198"/>
      <c r="AC43" s="198"/>
      <c r="AD43" s="198"/>
      <c r="AE43" s="198"/>
      <c r="AF43" s="198"/>
      <c r="AG43" s="198"/>
      <c r="AH43" s="198"/>
    </row>
    <row r="44" ht="15.75" customHeight="1">
      <c r="A44" s="198"/>
      <c r="B44" s="198"/>
      <c r="C44" s="198"/>
      <c r="D44" s="198"/>
      <c r="E44" s="198"/>
      <c r="F44" s="198"/>
      <c r="G44" s="199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9"/>
      <c r="W44" s="198"/>
      <c r="X44" s="198"/>
      <c r="Y44" s="198"/>
      <c r="Z44" s="198"/>
      <c r="AA44" s="198"/>
      <c r="AB44" s="198"/>
      <c r="AC44" s="198"/>
      <c r="AD44" s="198"/>
      <c r="AE44" s="198"/>
      <c r="AF44" s="198"/>
      <c r="AG44" s="198"/>
      <c r="AH44" s="198"/>
    </row>
    <row r="45" ht="15.75" customHeight="1">
      <c r="A45" s="198"/>
      <c r="B45" s="198"/>
      <c r="C45" s="198"/>
      <c r="D45" s="198"/>
      <c r="E45" s="198"/>
      <c r="F45" s="198"/>
      <c r="G45" s="199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9"/>
      <c r="W45" s="198"/>
      <c r="X45" s="198"/>
      <c r="Y45" s="198"/>
      <c r="Z45" s="198"/>
      <c r="AA45" s="198"/>
      <c r="AB45" s="198"/>
      <c r="AC45" s="198"/>
      <c r="AD45" s="198"/>
      <c r="AE45" s="198"/>
      <c r="AF45" s="198"/>
      <c r="AG45" s="198"/>
      <c r="AH45" s="198"/>
    </row>
    <row r="46" ht="15.75" customHeight="1">
      <c r="A46" s="198"/>
      <c r="B46" s="198"/>
      <c r="C46" s="198"/>
      <c r="D46" s="198"/>
      <c r="E46" s="198"/>
      <c r="F46" s="198"/>
      <c r="G46" s="199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9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</row>
    <row r="47" ht="15.75" customHeight="1">
      <c r="A47" s="198"/>
      <c r="B47" s="198"/>
      <c r="C47" s="198"/>
      <c r="D47" s="198"/>
      <c r="E47" s="198"/>
      <c r="F47" s="198"/>
      <c r="G47" s="199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9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</row>
    <row r="48" ht="15.75" customHeight="1">
      <c r="A48" s="198"/>
      <c r="B48" s="198"/>
      <c r="C48" s="198"/>
      <c r="D48" s="198"/>
      <c r="E48" s="198"/>
      <c r="F48" s="198"/>
      <c r="G48" s="199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9"/>
      <c r="W48" s="198"/>
      <c r="X48" s="198"/>
      <c r="Y48" s="198"/>
      <c r="Z48" s="198"/>
      <c r="AA48" s="198"/>
      <c r="AB48" s="198"/>
      <c r="AC48" s="198"/>
      <c r="AD48" s="198"/>
      <c r="AE48" s="198"/>
      <c r="AF48" s="198"/>
      <c r="AG48" s="198"/>
      <c r="AH48" s="198"/>
    </row>
    <row r="49" ht="15.75" customHeight="1">
      <c r="A49" s="198"/>
      <c r="B49" s="198"/>
      <c r="C49" s="198"/>
      <c r="D49" s="198"/>
      <c r="E49" s="198"/>
      <c r="F49" s="198"/>
      <c r="G49" s="199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9"/>
      <c r="W49" s="198"/>
      <c r="X49" s="198"/>
      <c r="Y49" s="198"/>
      <c r="Z49" s="198"/>
      <c r="AA49" s="198"/>
      <c r="AB49" s="198"/>
      <c r="AC49" s="198"/>
      <c r="AD49" s="198"/>
      <c r="AE49" s="198"/>
      <c r="AF49" s="198"/>
      <c r="AG49" s="198"/>
      <c r="AH49" s="198"/>
    </row>
    <row r="50" ht="15.75" customHeight="1">
      <c r="A50" s="198"/>
      <c r="B50" s="198"/>
      <c r="C50" s="198"/>
      <c r="D50" s="198"/>
      <c r="E50" s="198"/>
      <c r="F50" s="198"/>
      <c r="G50" s="199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9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</row>
    <row r="51" ht="15.75" customHeight="1">
      <c r="A51" s="198"/>
      <c r="B51" s="198"/>
      <c r="C51" s="198"/>
      <c r="D51" s="198"/>
      <c r="E51" s="198"/>
      <c r="F51" s="198"/>
      <c r="G51" s="199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9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</row>
    <row r="52" ht="15.75" customHeight="1">
      <c r="A52" s="198"/>
      <c r="B52" s="198"/>
      <c r="C52" s="198"/>
      <c r="D52" s="198"/>
      <c r="E52" s="198"/>
      <c r="F52" s="198"/>
      <c r="G52" s="199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9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</row>
    <row r="53" ht="15.75" customHeight="1">
      <c r="A53" s="198"/>
      <c r="B53" s="198"/>
      <c r="C53" s="198"/>
      <c r="D53" s="198"/>
      <c r="E53" s="198"/>
      <c r="F53" s="198"/>
      <c r="G53" s="199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9"/>
      <c r="W53" s="198"/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</row>
    <row r="54" ht="15.75" customHeight="1">
      <c r="A54" s="198"/>
      <c r="B54" s="198"/>
      <c r="C54" s="198"/>
      <c r="D54" s="198"/>
      <c r="E54" s="198"/>
      <c r="F54" s="198"/>
      <c r="G54" s="199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9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</row>
    <row r="55" ht="15.75" customHeight="1">
      <c r="A55" s="198"/>
      <c r="B55" s="198"/>
      <c r="C55" s="198"/>
      <c r="D55" s="198"/>
      <c r="E55" s="198"/>
      <c r="F55" s="198"/>
      <c r="G55" s="199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9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</row>
    <row r="56" ht="15.75" customHeight="1">
      <c r="A56" s="198"/>
      <c r="B56" s="198"/>
      <c r="C56" s="198"/>
      <c r="D56" s="198"/>
      <c r="E56" s="198"/>
      <c r="F56" s="198"/>
      <c r="G56" s="199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9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</row>
    <row r="57" ht="15.75" customHeight="1">
      <c r="A57" s="198"/>
      <c r="B57" s="198"/>
      <c r="C57" s="198"/>
      <c r="D57" s="198"/>
      <c r="E57" s="198"/>
      <c r="F57" s="198"/>
      <c r="G57" s="199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9"/>
      <c r="W57" s="198"/>
      <c r="X57" s="198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</row>
    <row r="58" ht="15.75" customHeight="1">
      <c r="A58" s="198"/>
      <c r="B58" s="198"/>
      <c r="C58" s="198"/>
      <c r="D58" s="198"/>
      <c r="E58" s="198"/>
      <c r="F58" s="198"/>
      <c r="G58" s="199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9"/>
      <c r="W58" s="198"/>
      <c r="X58" s="198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</row>
    <row r="59" ht="15.75" customHeight="1">
      <c r="A59" s="198"/>
      <c r="B59" s="198"/>
      <c r="C59" s="198"/>
      <c r="D59" s="198"/>
      <c r="E59" s="198"/>
      <c r="F59" s="198"/>
      <c r="G59" s="199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9"/>
      <c r="W59" s="198"/>
      <c r="X59" s="198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</row>
    <row r="60" ht="15.75" customHeight="1">
      <c r="A60" s="198"/>
      <c r="B60" s="198"/>
      <c r="C60" s="198"/>
      <c r="D60" s="198"/>
      <c r="E60" s="198"/>
      <c r="F60" s="198"/>
      <c r="G60" s="199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9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</row>
    <row r="61" ht="15.75" customHeight="1">
      <c r="A61" s="198"/>
      <c r="B61" s="198"/>
      <c r="C61" s="198"/>
      <c r="D61" s="198"/>
      <c r="E61" s="198"/>
      <c r="F61" s="198"/>
      <c r="G61" s="199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9"/>
      <c r="W61" s="198"/>
      <c r="X61" s="198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</row>
    <row r="62" ht="15.75" customHeight="1">
      <c r="A62" s="198"/>
      <c r="B62" s="198"/>
      <c r="C62" s="198"/>
      <c r="D62" s="198"/>
      <c r="E62" s="198"/>
      <c r="F62" s="198"/>
      <c r="G62" s="199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9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</row>
    <row r="63" ht="15.75" customHeight="1">
      <c r="A63" s="198"/>
      <c r="B63" s="198"/>
      <c r="C63" s="198"/>
      <c r="D63" s="198"/>
      <c r="E63" s="198"/>
      <c r="F63" s="198"/>
      <c r="G63" s="199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9"/>
      <c r="W63" s="198"/>
      <c r="X63" s="198"/>
      <c r="Y63" s="198"/>
      <c r="Z63" s="198"/>
      <c r="AA63" s="198"/>
      <c r="AB63" s="198"/>
      <c r="AC63" s="198"/>
      <c r="AD63" s="198"/>
      <c r="AE63" s="198"/>
      <c r="AF63" s="198"/>
      <c r="AG63" s="198"/>
      <c r="AH63" s="198"/>
    </row>
    <row r="64" ht="15.75" customHeight="1">
      <c r="A64" s="198"/>
      <c r="B64" s="198"/>
      <c r="C64" s="198"/>
      <c r="D64" s="198"/>
      <c r="E64" s="198"/>
      <c r="F64" s="198"/>
      <c r="G64" s="199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9"/>
      <c r="W64" s="198"/>
      <c r="X64" s="198"/>
      <c r="Y64" s="198"/>
      <c r="Z64" s="198"/>
      <c r="AA64" s="198"/>
      <c r="AB64" s="198"/>
      <c r="AC64" s="198"/>
      <c r="AD64" s="198"/>
      <c r="AE64" s="198"/>
      <c r="AF64" s="198"/>
      <c r="AG64" s="198"/>
      <c r="AH64" s="198"/>
    </row>
    <row r="65" ht="15.75" customHeight="1">
      <c r="A65" s="198"/>
      <c r="B65" s="198"/>
      <c r="C65" s="198"/>
      <c r="D65" s="198"/>
      <c r="E65" s="198"/>
      <c r="F65" s="198"/>
      <c r="G65" s="199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9"/>
      <c r="W65" s="198"/>
      <c r="X65" s="198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</row>
    <row r="66" ht="15.75" customHeight="1">
      <c r="A66" s="198"/>
      <c r="B66" s="198"/>
      <c r="C66" s="198"/>
      <c r="D66" s="198"/>
      <c r="E66" s="198"/>
      <c r="F66" s="198"/>
      <c r="G66" s="199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9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</row>
    <row r="67" ht="15.75" customHeight="1">
      <c r="A67" s="198"/>
      <c r="B67" s="198"/>
      <c r="C67" s="198"/>
      <c r="D67" s="198"/>
      <c r="E67" s="198"/>
      <c r="F67" s="198"/>
      <c r="G67" s="199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9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</row>
    <row r="68" ht="15.75" customHeight="1">
      <c r="A68" s="198"/>
      <c r="B68" s="198"/>
      <c r="C68" s="198"/>
      <c r="D68" s="198"/>
      <c r="E68" s="198"/>
      <c r="F68" s="198"/>
      <c r="G68" s="199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9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  <c r="AH68" s="198"/>
    </row>
    <row r="69" ht="15.75" customHeight="1">
      <c r="A69" s="198"/>
      <c r="B69" s="198"/>
      <c r="C69" s="198"/>
      <c r="D69" s="198"/>
      <c r="E69" s="198"/>
      <c r="F69" s="198"/>
      <c r="G69" s="199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9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</row>
    <row r="70" ht="15.75" customHeight="1">
      <c r="A70" s="198"/>
      <c r="B70" s="198"/>
      <c r="C70" s="198"/>
      <c r="D70" s="198"/>
      <c r="E70" s="198"/>
      <c r="F70" s="198"/>
      <c r="G70" s="199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9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</row>
    <row r="71" ht="15.75" customHeight="1">
      <c r="A71" s="198"/>
      <c r="B71" s="198"/>
      <c r="C71" s="198"/>
      <c r="D71" s="198"/>
      <c r="E71" s="198"/>
      <c r="F71" s="198"/>
      <c r="G71" s="199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</row>
    <row r="72" ht="15.75" customHeight="1">
      <c r="A72" s="198"/>
      <c r="B72" s="198"/>
      <c r="C72" s="198"/>
      <c r="D72" s="198"/>
      <c r="E72" s="198"/>
      <c r="F72" s="198"/>
      <c r="G72" s="199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9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</row>
    <row r="73" ht="15.75" customHeight="1">
      <c r="A73" s="198"/>
      <c r="B73" s="198"/>
      <c r="C73" s="198"/>
      <c r="D73" s="198"/>
      <c r="E73" s="198"/>
      <c r="F73" s="198"/>
      <c r="G73" s="199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9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</row>
    <row r="74" ht="15.75" customHeight="1">
      <c r="A74" s="198"/>
      <c r="B74" s="198"/>
      <c r="C74" s="198"/>
      <c r="D74" s="198"/>
      <c r="E74" s="198"/>
      <c r="F74" s="198"/>
      <c r="G74" s="199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9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</row>
    <row r="75" ht="15.75" customHeight="1">
      <c r="A75" s="198"/>
      <c r="B75" s="198"/>
      <c r="C75" s="198"/>
      <c r="D75" s="198"/>
      <c r="E75" s="198"/>
      <c r="F75" s="198"/>
      <c r="G75" s="199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9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</row>
    <row r="76" ht="15.75" customHeight="1">
      <c r="A76" s="198"/>
      <c r="B76" s="198"/>
      <c r="C76" s="198"/>
      <c r="D76" s="198"/>
      <c r="E76" s="198"/>
      <c r="F76" s="198"/>
      <c r="G76" s="199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9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</row>
    <row r="77" ht="15.75" customHeight="1">
      <c r="A77" s="198"/>
      <c r="B77" s="198"/>
      <c r="C77" s="198"/>
      <c r="D77" s="198"/>
      <c r="E77" s="198"/>
      <c r="F77" s="198"/>
      <c r="G77" s="199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9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</row>
    <row r="78" ht="15.75" customHeight="1">
      <c r="A78" s="198"/>
      <c r="B78" s="198"/>
      <c r="C78" s="198"/>
      <c r="D78" s="198"/>
      <c r="E78" s="198"/>
      <c r="F78" s="198"/>
      <c r="G78" s="199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9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</row>
    <row r="79" ht="15.75" customHeight="1">
      <c r="A79" s="198"/>
      <c r="B79" s="198"/>
      <c r="C79" s="198"/>
      <c r="D79" s="198"/>
      <c r="E79" s="198"/>
      <c r="F79" s="198"/>
      <c r="G79" s="199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9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</row>
    <row r="80" ht="15.75" customHeight="1">
      <c r="A80" s="198"/>
      <c r="B80" s="198"/>
      <c r="C80" s="198"/>
      <c r="D80" s="198"/>
      <c r="E80" s="198"/>
      <c r="F80" s="198"/>
      <c r="G80" s="199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9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</row>
    <row r="81" ht="15.75" customHeight="1">
      <c r="A81" s="198"/>
      <c r="B81" s="198"/>
      <c r="C81" s="198"/>
      <c r="D81" s="198"/>
      <c r="E81" s="198"/>
      <c r="F81" s="198"/>
      <c r="G81" s="199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9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</row>
    <row r="82" ht="15.75" customHeight="1">
      <c r="A82" s="198"/>
      <c r="B82" s="198"/>
      <c r="C82" s="198"/>
      <c r="D82" s="198"/>
      <c r="E82" s="198"/>
      <c r="F82" s="198"/>
      <c r="G82" s="199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9"/>
      <c r="W82" s="198"/>
      <c r="X82" s="198"/>
      <c r="Y82" s="198"/>
      <c r="Z82" s="198"/>
      <c r="AA82" s="198"/>
      <c r="AB82" s="198"/>
      <c r="AC82" s="198"/>
      <c r="AD82" s="198"/>
      <c r="AE82" s="198"/>
      <c r="AF82" s="198"/>
      <c r="AG82" s="198"/>
      <c r="AH82" s="198"/>
    </row>
    <row r="83" ht="15.75" customHeight="1">
      <c r="A83" s="198"/>
      <c r="B83" s="198"/>
      <c r="C83" s="198"/>
      <c r="D83" s="198"/>
      <c r="E83" s="198"/>
      <c r="F83" s="198"/>
      <c r="G83" s="199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9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</row>
    <row r="84" ht="15.75" customHeight="1">
      <c r="A84" s="198"/>
      <c r="B84" s="198"/>
      <c r="C84" s="198"/>
      <c r="D84" s="198"/>
      <c r="E84" s="198"/>
      <c r="F84" s="198"/>
      <c r="G84" s="199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9"/>
      <c r="W84" s="198"/>
      <c r="X84" s="198"/>
      <c r="Y84" s="198"/>
      <c r="Z84" s="198"/>
      <c r="AA84" s="198"/>
      <c r="AB84" s="198"/>
      <c r="AC84" s="198"/>
      <c r="AD84" s="198"/>
      <c r="AE84" s="198"/>
      <c r="AF84" s="198"/>
      <c r="AG84" s="198"/>
      <c r="AH84" s="198"/>
    </row>
    <row r="85" ht="15.75" customHeight="1">
      <c r="A85" s="198"/>
      <c r="B85" s="198"/>
      <c r="C85" s="198"/>
      <c r="D85" s="198"/>
      <c r="E85" s="198"/>
      <c r="F85" s="198"/>
      <c r="G85" s="199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9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198"/>
      <c r="AH85" s="198"/>
    </row>
    <row r="86" ht="15.75" customHeight="1">
      <c r="A86" s="198"/>
      <c r="B86" s="198"/>
      <c r="C86" s="198"/>
      <c r="D86" s="198"/>
      <c r="E86" s="198"/>
      <c r="F86" s="198"/>
      <c r="G86" s="199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9"/>
      <c r="W86" s="198"/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</row>
    <row r="87" ht="15.75" customHeight="1">
      <c r="A87" s="198"/>
      <c r="B87" s="198"/>
      <c r="C87" s="198"/>
      <c r="D87" s="198"/>
      <c r="E87" s="198"/>
      <c r="F87" s="198"/>
      <c r="G87" s="199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9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198"/>
    </row>
    <row r="88" ht="15.75" customHeight="1">
      <c r="A88" s="198"/>
      <c r="B88" s="198"/>
      <c r="C88" s="198"/>
      <c r="D88" s="198"/>
      <c r="E88" s="198"/>
      <c r="F88" s="198"/>
      <c r="G88" s="199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9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198"/>
    </row>
    <row r="89" ht="15.75" customHeight="1">
      <c r="A89" s="198"/>
      <c r="B89" s="198"/>
      <c r="C89" s="198"/>
      <c r="D89" s="198"/>
      <c r="E89" s="198"/>
      <c r="F89" s="198"/>
      <c r="G89" s="199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9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</row>
    <row r="90" ht="15.75" customHeight="1">
      <c r="A90" s="198"/>
      <c r="B90" s="198"/>
      <c r="C90" s="198"/>
      <c r="D90" s="198"/>
      <c r="E90" s="198"/>
      <c r="F90" s="198"/>
      <c r="G90" s="199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9"/>
      <c r="W90" s="198"/>
      <c r="X90" s="198"/>
      <c r="Y90" s="198"/>
      <c r="Z90" s="198"/>
      <c r="AA90" s="198"/>
      <c r="AB90" s="198"/>
      <c r="AC90" s="198"/>
      <c r="AD90" s="198"/>
      <c r="AE90" s="198"/>
      <c r="AF90" s="198"/>
      <c r="AG90" s="198"/>
      <c r="AH90" s="198"/>
    </row>
    <row r="91" ht="15.75" customHeight="1">
      <c r="A91" s="198"/>
      <c r="B91" s="198"/>
      <c r="C91" s="198"/>
      <c r="D91" s="198"/>
      <c r="E91" s="198"/>
      <c r="F91" s="198"/>
      <c r="G91" s="199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9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198"/>
    </row>
    <row r="92" ht="15.75" customHeight="1">
      <c r="A92" s="198"/>
      <c r="B92" s="198"/>
      <c r="C92" s="198"/>
      <c r="D92" s="198"/>
      <c r="E92" s="198"/>
      <c r="F92" s="198"/>
      <c r="G92" s="199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9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198"/>
    </row>
    <row r="93" ht="15.75" customHeight="1">
      <c r="A93" s="198"/>
      <c r="B93" s="198"/>
      <c r="C93" s="198"/>
      <c r="D93" s="198"/>
      <c r="E93" s="198"/>
      <c r="F93" s="198"/>
      <c r="G93" s="199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9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198"/>
      <c r="AH93" s="198"/>
    </row>
    <row r="94" ht="15.75" customHeight="1">
      <c r="A94" s="198"/>
      <c r="B94" s="198"/>
      <c r="C94" s="198"/>
      <c r="D94" s="198"/>
      <c r="E94" s="198"/>
      <c r="F94" s="198"/>
      <c r="G94" s="199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9"/>
      <c r="W94" s="198"/>
      <c r="X94" s="198"/>
      <c r="Y94" s="198"/>
      <c r="Z94" s="198"/>
      <c r="AA94" s="198"/>
      <c r="AB94" s="198"/>
      <c r="AC94" s="198"/>
      <c r="AD94" s="198"/>
      <c r="AE94" s="198"/>
      <c r="AF94" s="198"/>
      <c r="AG94" s="198"/>
      <c r="AH94" s="198"/>
    </row>
    <row r="95" ht="15.75" customHeight="1">
      <c r="A95" s="198"/>
      <c r="B95" s="198"/>
      <c r="C95" s="198"/>
      <c r="D95" s="198"/>
      <c r="E95" s="198"/>
      <c r="F95" s="198"/>
      <c r="G95" s="199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9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</row>
    <row r="96" ht="15.75" customHeight="1">
      <c r="A96" s="198"/>
      <c r="B96" s="198"/>
      <c r="C96" s="198"/>
      <c r="D96" s="198"/>
      <c r="E96" s="198"/>
      <c r="F96" s="198"/>
      <c r="G96" s="199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9"/>
      <c r="W96" s="198"/>
      <c r="X96" s="198"/>
      <c r="Y96" s="198"/>
      <c r="Z96" s="198"/>
      <c r="AA96" s="198"/>
      <c r="AB96" s="198"/>
      <c r="AC96" s="198"/>
      <c r="AD96" s="198"/>
      <c r="AE96" s="198"/>
      <c r="AF96" s="198"/>
      <c r="AG96" s="198"/>
      <c r="AH96" s="198"/>
    </row>
    <row r="97" ht="15.75" customHeight="1">
      <c r="A97" s="198"/>
      <c r="B97" s="198"/>
      <c r="C97" s="198"/>
      <c r="D97" s="198"/>
      <c r="E97" s="198"/>
      <c r="F97" s="198"/>
      <c r="G97" s="199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9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</row>
    <row r="98" ht="15.75" customHeight="1">
      <c r="A98" s="198"/>
      <c r="B98" s="198"/>
      <c r="C98" s="198"/>
      <c r="D98" s="198"/>
      <c r="E98" s="198"/>
      <c r="F98" s="198"/>
      <c r="G98" s="199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9"/>
      <c r="W98" s="198"/>
      <c r="X98" s="198"/>
      <c r="Y98" s="198"/>
      <c r="Z98" s="198"/>
      <c r="AA98" s="198"/>
      <c r="AB98" s="198"/>
      <c r="AC98" s="198"/>
      <c r="AD98" s="198"/>
      <c r="AE98" s="198"/>
      <c r="AF98" s="198"/>
      <c r="AG98" s="198"/>
      <c r="AH98" s="198"/>
    </row>
    <row r="99" ht="15.75" customHeight="1">
      <c r="A99" s="198"/>
      <c r="B99" s="198"/>
      <c r="C99" s="198"/>
      <c r="D99" s="198"/>
      <c r="E99" s="198"/>
      <c r="F99" s="198"/>
      <c r="G99" s="199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9"/>
      <c r="W99" s="198"/>
      <c r="X99" s="198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</row>
    <row r="100" ht="15.75" customHeight="1">
      <c r="A100" s="198"/>
      <c r="B100" s="198"/>
      <c r="C100" s="198"/>
      <c r="D100" s="198"/>
      <c r="E100" s="198"/>
      <c r="F100" s="198"/>
      <c r="G100" s="199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9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</row>
    <row r="101" ht="15.75" customHeight="1">
      <c r="A101" s="198"/>
      <c r="B101" s="198"/>
      <c r="C101" s="198"/>
      <c r="D101" s="198"/>
      <c r="E101" s="198"/>
      <c r="F101" s="198"/>
      <c r="G101" s="199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9"/>
      <c r="W101" s="198"/>
      <c r="X101" s="198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</row>
    <row r="102" ht="15.75" customHeight="1">
      <c r="A102" s="198"/>
      <c r="B102" s="198"/>
      <c r="C102" s="198"/>
      <c r="D102" s="198"/>
      <c r="E102" s="198"/>
      <c r="F102" s="198"/>
      <c r="G102" s="199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9"/>
      <c r="W102" s="198"/>
      <c r="X102" s="198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</row>
    <row r="103" ht="15.75" customHeight="1">
      <c r="A103" s="198"/>
      <c r="B103" s="198"/>
      <c r="C103" s="198"/>
      <c r="D103" s="198"/>
      <c r="E103" s="198"/>
      <c r="F103" s="198"/>
      <c r="G103" s="199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9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</row>
    <row r="104" ht="15.75" customHeight="1">
      <c r="A104" s="198"/>
      <c r="B104" s="198"/>
      <c r="C104" s="198"/>
      <c r="D104" s="198"/>
      <c r="E104" s="198"/>
      <c r="F104" s="198"/>
      <c r="G104" s="199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9"/>
      <c r="W104" s="198"/>
      <c r="X104" s="198"/>
      <c r="Y104" s="198"/>
      <c r="Z104" s="198"/>
      <c r="AA104" s="198"/>
      <c r="AB104" s="198"/>
      <c r="AC104" s="198"/>
      <c r="AD104" s="198"/>
      <c r="AE104" s="198"/>
      <c r="AF104" s="198"/>
      <c r="AG104" s="198"/>
      <c r="AH104" s="198"/>
    </row>
    <row r="105" ht="15.75" customHeight="1">
      <c r="A105" s="198"/>
      <c r="B105" s="198"/>
      <c r="C105" s="198"/>
      <c r="D105" s="198"/>
      <c r="E105" s="198"/>
      <c r="F105" s="198"/>
      <c r="G105" s="199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9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</row>
    <row r="106" ht="15.75" customHeight="1">
      <c r="A106" s="198"/>
      <c r="B106" s="198"/>
      <c r="C106" s="198"/>
      <c r="D106" s="198"/>
      <c r="E106" s="198"/>
      <c r="F106" s="198"/>
      <c r="G106" s="199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9"/>
      <c r="W106" s="198"/>
      <c r="X106" s="198"/>
      <c r="Y106" s="198"/>
      <c r="Z106" s="198"/>
      <c r="AA106" s="198"/>
      <c r="AB106" s="198"/>
      <c r="AC106" s="198"/>
      <c r="AD106" s="198"/>
      <c r="AE106" s="198"/>
      <c r="AF106" s="198"/>
      <c r="AG106" s="198"/>
      <c r="AH106" s="198"/>
    </row>
    <row r="107" ht="15.75" customHeight="1">
      <c r="A107" s="198"/>
      <c r="B107" s="198"/>
      <c r="C107" s="198"/>
      <c r="D107" s="198"/>
      <c r="E107" s="198"/>
      <c r="F107" s="198"/>
      <c r="G107" s="199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9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  <c r="AH107" s="198"/>
    </row>
    <row r="108" ht="15.75" customHeight="1">
      <c r="A108" s="198"/>
      <c r="B108" s="198"/>
      <c r="C108" s="198"/>
      <c r="D108" s="198"/>
      <c r="E108" s="198"/>
      <c r="F108" s="198"/>
      <c r="G108" s="199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9"/>
      <c r="W108" s="198"/>
      <c r="X108" s="198"/>
      <c r="Y108" s="198"/>
      <c r="Z108" s="198"/>
      <c r="AA108" s="198"/>
      <c r="AB108" s="198"/>
      <c r="AC108" s="198"/>
      <c r="AD108" s="198"/>
      <c r="AE108" s="198"/>
      <c r="AF108" s="198"/>
      <c r="AG108" s="198"/>
      <c r="AH108" s="198"/>
    </row>
    <row r="109" ht="15.75" customHeight="1">
      <c r="A109" s="198"/>
      <c r="B109" s="198"/>
      <c r="C109" s="198"/>
      <c r="D109" s="198"/>
      <c r="E109" s="198"/>
      <c r="F109" s="198"/>
      <c r="G109" s="199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9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198"/>
    </row>
    <row r="110" ht="15.75" customHeight="1">
      <c r="A110" s="198"/>
      <c r="B110" s="198"/>
      <c r="C110" s="198"/>
      <c r="D110" s="198"/>
      <c r="E110" s="198"/>
      <c r="F110" s="198"/>
      <c r="G110" s="199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9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198"/>
    </row>
    <row r="111" ht="15.75" customHeight="1">
      <c r="A111" s="198"/>
      <c r="B111" s="198"/>
      <c r="C111" s="198"/>
      <c r="D111" s="198"/>
      <c r="E111" s="198"/>
      <c r="F111" s="198"/>
      <c r="G111" s="199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9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</row>
    <row r="112" ht="15.75" customHeight="1">
      <c r="A112" s="198"/>
      <c r="B112" s="198"/>
      <c r="C112" s="198"/>
      <c r="D112" s="198"/>
      <c r="E112" s="198"/>
      <c r="F112" s="198"/>
      <c r="G112" s="199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9"/>
      <c r="W112" s="198"/>
      <c r="X112" s="198"/>
      <c r="Y112" s="198"/>
      <c r="Z112" s="198"/>
      <c r="AA112" s="198"/>
      <c r="AB112" s="198"/>
      <c r="AC112" s="198"/>
      <c r="AD112" s="198"/>
      <c r="AE112" s="198"/>
      <c r="AF112" s="198"/>
      <c r="AG112" s="198"/>
      <c r="AH112" s="198"/>
    </row>
    <row r="113" ht="15.75" customHeight="1">
      <c r="A113" s="198"/>
      <c r="B113" s="198"/>
      <c r="C113" s="198"/>
      <c r="D113" s="198"/>
      <c r="E113" s="198"/>
      <c r="F113" s="198"/>
      <c r="G113" s="199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9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</row>
    <row r="114" ht="15.75" customHeight="1">
      <c r="A114" s="198"/>
      <c r="B114" s="198"/>
      <c r="C114" s="198"/>
      <c r="D114" s="198"/>
      <c r="E114" s="198"/>
      <c r="F114" s="198"/>
      <c r="G114" s="199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9"/>
      <c r="W114" s="198"/>
      <c r="X114" s="198"/>
      <c r="Y114" s="198"/>
      <c r="Z114" s="198"/>
      <c r="AA114" s="198"/>
      <c r="AB114" s="198"/>
      <c r="AC114" s="198"/>
      <c r="AD114" s="198"/>
      <c r="AE114" s="198"/>
      <c r="AF114" s="198"/>
      <c r="AG114" s="198"/>
      <c r="AH114" s="198"/>
    </row>
    <row r="115" ht="15.75" customHeight="1">
      <c r="A115" s="198"/>
      <c r="B115" s="198"/>
      <c r="C115" s="198"/>
      <c r="D115" s="198"/>
      <c r="E115" s="198"/>
      <c r="F115" s="198"/>
      <c r="G115" s="199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9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</row>
    <row r="116" ht="15.75" customHeight="1">
      <c r="A116" s="198"/>
      <c r="B116" s="198"/>
      <c r="C116" s="198"/>
      <c r="D116" s="198"/>
      <c r="E116" s="198"/>
      <c r="F116" s="198"/>
      <c r="G116" s="199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9"/>
      <c r="W116" s="198"/>
      <c r="X116" s="198"/>
      <c r="Y116" s="198"/>
      <c r="Z116" s="198"/>
      <c r="AA116" s="198"/>
      <c r="AB116" s="198"/>
      <c r="AC116" s="198"/>
      <c r="AD116" s="198"/>
      <c r="AE116" s="198"/>
      <c r="AF116" s="198"/>
      <c r="AG116" s="198"/>
      <c r="AH116" s="198"/>
    </row>
    <row r="117" ht="15.75" customHeight="1">
      <c r="A117" s="198"/>
      <c r="B117" s="198"/>
      <c r="C117" s="198"/>
      <c r="D117" s="198"/>
      <c r="E117" s="198"/>
      <c r="F117" s="198"/>
      <c r="G117" s="199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</row>
    <row r="118" ht="15.75" customHeight="1">
      <c r="A118" s="198"/>
      <c r="B118" s="198"/>
      <c r="C118" s="198"/>
      <c r="D118" s="198"/>
      <c r="E118" s="198"/>
      <c r="F118" s="198"/>
      <c r="G118" s="199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9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8"/>
      <c r="AH118" s="198"/>
    </row>
    <row r="119" ht="15.75" customHeight="1">
      <c r="A119" s="198"/>
      <c r="B119" s="198"/>
      <c r="C119" s="198"/>
      <c r="D119" s="198"/>
      <c r="E119" s="198"/>
      <c r="F119" s="198"/>
      <c r="G119" s="199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</row>
    <row r="120" ht="15.75" customHeight="1">
      <c r="A120" s="198"/>
      <c r="B120" s="198"/>
      <c r="C120" s="198"/>
      <c r="D120" s="198"/>
      <c r="E120" s="198"/>
      <c r="F120" s="198"/>
      <c r="G120" s="199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9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8"/>
      <c r="AH120" s="198"/>
    </row>
    <row r="121" ht="15.75" customHeight="1">
      <c r="A121" s="198"/>
      <c r="B121" s="198"/>
      <c r="C121" s="198"/>
      <c r="D121" s="198"/>
      <c r="E121" s="198"/>
      <c r="F121" s="198"/>
      <c r="G121" s="199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9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</row>
    <row r="122" ht="15.75" customHeight="1">
      <c r="A122" s="198"/>
      <c r="B122" s="198"/>
      <c r="C122" s="198"/>
      <c r="D122" s="198"/>
      <c r="E122" s="198"/>
      <c r="F122" s="198"/>
      <c r="G122" s="199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9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198"/>
    </row>
    <row r="123" ht="15.75" customHeight="1">
      <c r="A123" s="198"/>
      <c r="B123" s="198"/>
      <c r="C123" s="198"/>
      <c r="D123" s="198"/>
      <c r="E123" s="198"/>
      <c r="F123" s="198"/>
      <c r="G123" s="199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9"/>
      <c r="W123" s="198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8"/>
      <c r="AH123" s="198"/>
    </row>
    <row r="124" ht="15.75" customHeight="1">
      <c r="A124" s="198"/>
      <c r="B124" s="198"/>
      <c r="C124" s="198"/>
      <c r="D124" s="198"/>
      <c r="E124" s="198"/>
      <c r="F124" s="198"/>
      <c r="G124" s="199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9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8"/>
      <c r="AH124" s="198"/>
    </row>
    <row r="125" ht="15.75" customHeight="1">
      <c r="A125" s="198"/>
      <c r="B125" s="198"/>
      <c r="C125" s="198"/>
      <c r="D125" s="198"/>
      <c r="E125" s="198"/>
      <c r="F125" s="198"/>
      <c r="G125" s="199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9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8"/>
      <c r="AH125" s="198"/>
    </row>
    <row r="126" ht="15.75" customHeight="1">
      <c r="A126" s="198"/>
      <c r="B126" s="198"/>
      <c r="C126" s="198"/>
      <c r="D126" s="198"/>
      <c r="E126" s="198"/>
      <c r="F126" s="198"/>
      <c r="G126" s="199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9"/>
      <c r="W126" s="198"/>
      <c r="X126" s="198"/>
      <c r="Y126" s="198"/>
      <c r="Z126" s="198"/>
      <c r="AA126" s="198"/>
      <c r="AB126" s="198"/>
      <c r="AC126" s="198"/>
      <c r="AD126" s="198"/>
      <c r="AE126" s="198"/>
      <c r="AF126" s="198"/>
      <c r="AG126" s="198"/>
      <c r="AH126" s="198"/>
    </row>
    <row r="127" ht="15.75" customHeight="1">
      <c r="A127" s="198"/>
      <c r="B127" s="198"/>
      <c r="C127" s="198"/>
      <c r="D127" s="198"/>
      <c r="E127" s="198"/>
      <c r="F127" s="198"/>
      <c r="G127" s="199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9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</row>
    <row r="128" ht="15.75" customHeight="1">
      <c r="A128" s="198"/>
      <c r="B128" s="198"/>
      <c r="C128" s="198"/>
      <c r="D128" s="198"/>
      <c r="E128" s="198"/>
      <c r="F128" s="198"/>
      <c r="G128" s="199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9"/>
      <c r="W128" s="198"/>
      <c r="X128" s="198"/>
      <c r="Y128" s="198"/>
      <c r="Z128" s="198"/>
      <c r="AA128" s="198"/>
      <c r="AB128" s="198"/>
      <c r="AC128" s="198"/>
      <c r="AD128" s="198"/>
      <c r="AE128" s="198"/>
      <c r="AF128" s="198"/>
      <c r="AG128" s="198"/>
      <c r="AH128" s="198"/>
    </row>
    <row r="129" ht="15.75" customHeight="1">
      <c r="A129" s="198"/>
      <c r="B129" s="198"/>
      <c r="C129" s="198"/>
      <c r="D129" s="198"/>
      <c r="E129" s="198"/>
      <c r="F129" s="198"/>
      <c r="G129" s="199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9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</row>
    <row r="130" ht="15.75" customHeight="1">
      <c r="A130" s="198"/>
      <c r="B130" s="198"/>
      <c r="C130" s="198"/>
      <c r="D130" s="198"/>
      <c r="E130" s="198"/>
      <c r="F130" s="198"/>
      <c r="G130" s="199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9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198"/>
    </row>
    <row r="131" ht="15.75" customHeight="1">
      <c r="A131" s="198"/>
      <c r="B131" s="198"/>
      <c r="C131" s="198"/>
      <c r="D131" s="198"/>
      <c r="E131" s="198"/>
      <c r="F131" s="198"/>
      <c r="G131" s="199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9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198"/>
    </row>
    <row r="132" ht="15.75" customHeight="1">
      <c r="A132" s="198"/>
      <c r="B132" s="198"/>
      <c r="C132" s="198"/>
      <c r="D132" s="198"/>
      <c r="E132" s="198"/>
      <c r="F132" s="198"/>
      <c r="G132" s="199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9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</row>
    <row r="133" ht="15.75" customHeight="1">
      <c r="A133" s="198"/>
      <c r="B133" s="198"/>
      <c r="C133" s="198"/>
      <c r="D133" s="198"/>
      <c r="E133" s="198"/>
      <c r="F133" s="198"/>
      <c r="G133" s="199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9"/>
      <c r="W133" s="198"/>
      <c r="X133" s="198"/>
      <c r="Y133" s="198"/>
      <c r="Z133" s="198"/>
      <c r="AA133" s="198"/>
      <c r="AB133" s="198"/>
      <c r="AC133" s="198"/>
      <c r="AD133" s="198"/>
      <c r="AE133" s="198"/>
      <c r="AF133" s="198"/>
      <c r="AG133" s="198"/>
      <c r="AH133" s="198"/>
    </row>
    <row r="134" ht="15.75" customHeight="1">
      <c r="A134" s="198"/>
      <c r="B134" s="198"/>
      <c r="C134" s="198"/>
      <c r="D134" s="198"/>
      <c r="E134" s="198"/>
      <c r="F134" s="198"/>
      <c r="G134" s="199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9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</row>
    <row r="135" ht="15.75" customHeight="1">
      <c r="A135" s="198"/>
      <c r="B135" s="198"/>
      <c r="C135" s="198"/>
      <c r="D135" s="198"/>
      <c r="E135" s="198"/>
      <c r="F135" s="198"/>
      <c r="G135" s="199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9"/>
      <c r="W135" s="198"/>
      <c r="X135" s="198"/>
      <c r="Y135" s="198"/>
      <c r="Z135" s="198"/>
      <c r="AA135" s="198"/>
      <c r="AB135" s="198"/>
      <c r="AC135" s="198"/>
      <c r="AD135" s="198"/>
      <c r="AE135" s="198"/>
      <c r="AF135" s="198"/>
      <c r="AG135" s="198"/>
      <c r="AH135" s="198"/>
    </row>
    <row r="136" ht="15.75" customHeight="1">
      <c r="A136" s="198"/>
      <c r="B136" s="198"/>
      <c r="C136" s="198"/>
      <c r="D136" s="198"/>
      <c r="E136" s="198"/>
      <c r="F136" s="198"/>
      <c r="G136" s="199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9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</row>
    <row r="137" ht="15.75" customHeight="1">
      <c r="A137" s="198"/>
      <c r="B137" s="198"/>
      <c r="C137" s="198"/>
      <c r="D137" s="198"/>
      <c r="E137" s="198"/>
      <c r="F137" s="198"/>
      <c r="G137" s="199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9"/>
      <c r="W137" s="198"/>
      <c r="X137" s="198"/>
      <c r="Y137" s="198"/>
      <c r="Z137" s="198"/>
      <c r="AA137" s="198"/>
      <c r="AB137" s="198"/>
      <c r="AC137" s="198"/>
      <c r="AD137" s="198"/>
      <c r="AE137" s="198"/>
      <c r="AF137" s="198"/>
      <c r="AG137" s="198"/>
      <c r="AH137" s="198"/>
    </row>
    <row r="138" ht="15.75" customHeight="1">
      <c r="A138" s="198"/>
      <c r="B138" s="198"/>
      <c r="C138" s="198"/>
      <c r="D138" s="198"/>
      <c r="E138" s="198"/>
      <c r="F138" s="198"/>
      <c r="G138" s="199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9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</row>
    <row r="139" ht="15.75" customHeight="1">
      <c r="A139" s="198"/>
      <c r="B139" s="198"/>
      <c r="C139" s="198"/>
      <c r="D139" s="198"/>
      <c r="E139" s="198"/>
      <c r="F139" s="198"/>
      <c r="G139" s="199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9"/>
      <c r="W139" s="198"/>
      <c r="X139" s="198"/>
      <c r="Y139" s="198"/>
      <c r="Z139" s="198"/>
      <c r="AA139" s="198"/>
      <c r="AB139" s="198"/>
      <c r="AC139" s="198"/>
      <c r="AD139" s="198"/>
      <c r="AE139" s="198"/>
      <c r="AF139" s="198"/>
      <c r="AG139" s="198"/>
      <c r="AH139" s="198"/>
    </row>
    <row r="140" ht="15.75" customHeight="1">
      <c r="A140" s="198"/>
      <c r="B140" s="198"/>
      <c r="C140" s="198"/>
      <c r="D140" s="198"/>
      <c r="E140" s="198"/>
      <c r="F140" s="198"/>
      <c r="G140" s="199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9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</row>
    <row r="141" ht="15.75" customHeight="1">
      <c r="A141" s="198"/>
      <c r="B141" s="198"/>
      <c r="C141" s="198"/>
      <c r="D141" s="198"/>
      <c r="E141" s="198"/>
      <c r="F141" s="198"/>
      <c r="G141" s="199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9"/>
      <c r="W141" s="198"/>
      <c r="X141" s="198"/>
      <c r="Y141" s="198"/>
      <c r="Z141" s="198"/>
      <c r="AA141" s="198"/>
      <c r="AB141" s="198"/>
      <c r="AC141" s="198"/>
      <c r="AD141" s="198"/>
      <c r="AE141" s="198"/>
      <c r="AF141" s="198"/>
      <c r="AG141" s="198"/>
      <c r="AH141" s="198"/>
    </row>
    <row r="142" ht="15.75" customHeight="1">
      <c r="A142" s="198"/>
      <c r="B142" s="198"/>
      <c r="C142" s="198"/>
      <c r="D142" s="198"/>
      <c r="E142" s="198"/>
      <c r="F142" s="198"/>
      <c r="G142" s="199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9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</row>
    <row r="143" ht="15.75" customHeight="1">
      <c r="A143" s="198"/>
      <c r="B143" s="198"/>
      <c r="C143" s="198"/>
      <c r="D143" s="198"/>
      <c r="E143" s="198"/>
      <c r="F143" s="198"/>
      <c r="G143" s="199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9"/>
      <c r="W143" s="198"/>
      <c r="X143" s="198"/>
      <c r="Y143" s="198"/>
      <c r="Z143" s="198"/>
      <c r="AA143" s="198"/>
      <c r="AB143" s="198"/>
      <c r="AC143" s="198"/>
      <c r="AD143" s="198"/>
      <c r="AE143" s="198"/>
      <c r="AF143" s="198"/>
      <c r="AG143" s="198"/>
      <c r="AH143" s="198"/>
    </row>
    <row r="144" ht="15.75" customHeight="1">
      <c r="A144" s="198"/>
      <c r="B144" s="198"/>
      <c r="C144" s="198"/>
      <c r="D144" s="198"/>
      <c r="E144" s="198"/>
      <c r="F144" s="198"/>
      <c r="G144" s="199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9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198"/>
    </row>
    <row r="145" ht="15.75" customHeight="1">
      <c r="A145" s="198"/>
      <c r="B145" s="198"/>
      <c r="C145" s="198"/>
      <c r="D145" s="198"/>
      <c r="E145" s="198"/>
      <c r="F145" s="198"/>
      <c r="G145" s="199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9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198"/>
    </row>
    <row r="146" ht="15.75" customHeight="1">
      <c r="A146" s="198"/>
      <c r="B146" s="198"/>
      <c r="C146" s="198"/>
      <c r="D146" s="198"/>
      <c r="E146" s="198"/>
      <c r="F146" s="198"/>
      <c r="G146" s="199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9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</row>
    <row r="147" ht="15.75" customHeight="1">
      <c r="A147" s="198"/>
      <c r="B147" s="198"/>
      <c r="C147" s="198"/>
      <c r="D147" s="198"/>
      <c r="E147" s="198"/>
      <c r="F147" s="198"/>
      <c r="G147" s="199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9"/>
      <c r="W147" s="198"/>
      <c r="X147" s="198"/>
      <c r="Y147" s="198"/>
      <c r="Z147" s="198"/>
      <c r="AA147" s="198"/>
      <c r="AB147" s="198"/>
      <c r="AC147" s="198"/>
      <c r="AD147" s="198"/>
      <c r="AE147" s="198"/>
      <c r="AF147" s="198"/>
      <c r="AG147" s="198"/>
      <c r="AH147" s="198"/>
    </row>
    <row r="148" ht="15.75" customHeight="1">
      <c r="A148" s="198"/>
      <c r="B148" s="198"/>
      <c r="C148" s="198"/>
      <c r="D148" s="198"/>
      <c r="E148" s="198"/>
      <c r="F148" s="198"/>
      <c r="G148" s="199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9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</row>
    <row r="149" ht="15.75" customHeight="1">
      <c r="A149" s="198"/>
      <c r="B149" s="198"/>
      <c r="C149" s="198"/>
      <c r="D149" s="198"/>
      <c r="E149" s="198"/>
      <c r="F149" s="198"/>
      <c r="G149" s="199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9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198"/>
      <c r="AH149" s="198"/>
    </row>
    <row r="150" ht="15.75" customHeight="1">
      <c r="A150" s="198"/>
      <c r="B150" s="198"/>
      <c r="C150" s="198"/>
      <c r="D150" s="198"/>
      <c r="E150" s="198"/>
      <c r="F150" s="198"/>
      <c r="G150" s="199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9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</row>
    <row r="151" ht="15.75" customHeight="1">
      <c r="A151" s="198"/>
      <c r="B151" s="198"/>
      <c r="C151" s="198"/>
      <c r="D151" s="198"/>
      <c r="E151" s="198"/>
      <c r="F151" s="198"/>
      <c r="G151" s="199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9"/>
      <c r="W151" s="198"/>
      <c r="X151" s="198"/>
      <c r="Y151" s="198"/>
      <c r="Z151" s="198"/>
      <c r="AA151" s="198"/>
      <c r="AB151" s="198"/>
      <c r="AC151" s="198"/>
      <c r="AD151" s="198"/>
      <c r="AE151" s="198"/>
      <c r="AF151" s="198"/>
      <c r="AG151" s="198"/>
      <c r="AH151" s="198"/>
    </row>
    <row r="152" ht="15.75" customHeight="1">
      <c r="A152" s="198"/>
      <c r="B152" s="198"/>
      <c r="C152" s="198"/>
      <c r="D152" s="198"/>
      <c r="E152" s="198"/>
      <c r="F152" s="198"/>
      <c r="G152" s="199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9"/>
      <c r="W152" s="198"/>
      <c r="X152" s="198"/>
      <c r="Y152" s="198"/>
      <c r="Z152" s="198"/>
      <c r="AA152" s="198"/>
      <c r="AB152" s="198"/>
      <c r="AC152" s="198"/>
      <c r="AD152" s="198"/>
      <c r="AE152" s="198"/>
      <c r="AF152" s="198"/>
      <c r="AG152" s="198"/>
      <c r="AH152" s="198"/>
    </row>
    <row r="153" ht="15.75" customHeight="1">
      <c r="A153" s="198"/>
      <c r="B153" s="198"/>
      <c r="C153" s="198"/>
      <c r="D153" s="198"/>
      <c r="E153" s="198"/>
      <c r="F153" s="198"/>
      <c r="G153" s="199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9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</row>
    <row r="154" ht="15.75" customHeight="1">
      <c r="A154" s="198"/>
      <c r="B154" s="198"/>
      <c r="C154" s="198"/>
      <c r="D154" s="198"/>
      <c r="E154" s="198"/>
      <c r="F154" s="198"/>
      <c r="G154" s="199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9"/>
      <c r="W154" s="198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198"/>
    </row>
    <row r="155" ht="15.75" customHeight="1">
      <c r="A155" s="198"/>
      <c r="B155" s="198"/>
      <c r="C155" s="198"/>
      <c r="D155" s="198"/>
      <c r="E155" s="198"/>
      <c r="F155" s="198"/>
      <c r="G155" s="199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9"/>
      <c r="W155" s="198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</row>
    <row r="156" ht="15.75" customHeight="1">
      <c r="A156" s="198"/>
      <c r="B156" s="198"/>
      <c r="C156" s="198"/>
      <c r="D156" s="198"/>
      <c r="E156" s="198"/>
      <c r="F156" s="198"/>
      <c r="G156" s="199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9"/>
      <c r="W156" s="198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198"/>
    </row>
    <row r="157" ht="15.75" customHeight="1">
      <c r="A157" s="198"/>
      <c r="B157" s="198"/>
      <c r="C157" s="198"/>
      <c r="D157" s="198"/>
      <c r="E157" s="198"/>
      <c r="F157" s="198"/>
      <c r="G157" s="199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9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</row>
    <row r="158" ht="15.75" customHeight="1">
      <c r="A158" s="198"/>
      <c r="B158" s="198"/>
      <c r="C158" s="198"/>
      <c r="D158" s="198"/>
      <c r="E158" s="198"/>
      <c r="F158" s="198"/>
      <c r="G158" s="199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9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198"/>
    </row>
    <row r="159" ht="15.75" customHeight="1">
      <c r="A159" s="198"/>
      <c r="B159" s="198"/>
      <c r="C159" s="198"/>
      <c r="D159" s="198"/>
      <c r="E159" s="198"/>
      <c r="F159" s="198"/>
      <c r="G159" s="199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9"/>
      <c r="W159" s="198"/>
      <c r="X159" s="198"/>
      <c r="Y159" s="198"/>
      <c r="Z159" s="198"/>
      <c r="AA159" s="198"/>
      <c r="AB159" s="198"/>
      <c r="AC159" s="198"/>
      <c r="AD159" s="198"/>
      <c r="AE159" s="198"/>
      <c r="AF159" s="198"/>
      <c r="AG159" s="198"/>
      <c r="AH159" s="198"/>
    </row>
    <row r="160" ht="15.75" customHeight="1">
      <c r="A160" s="198"/>
      <c r="B160" s="198"/>
      <c r="C160" s="198"/>
      <c r="D160" s="198"/>
      <c r="E160" s="198"/>
      <c r="F160" s="198"/>
      <c r="G160" s="199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9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</row>
    <row r="161" ht="15.75" customHeight="1">
      <c r="A161" s="198"/>
      <c r="B161" s="198"/>
      <c r="C161" s="198"/>
      <c r="D161" s="198"/>
      <c r="E161" s="198"/>
      <c r="F161" s="198"/>
      <c r="G161" s="199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9"/>
      <c r="W161" s="198"/>
      <c r="X161" s="198"/>
      <c r="Y161" s="198"/>
      <c r="Z161" s="198"/>
      <c r="AA161" s="198"/>
      <c r="AB161" s="198"/>
      <c r="AC161" s="198"/>
      <c r="AD161" s="198"/>
      <c r="AE161" s="198"/>
      <c r="AF161" s="198"/>
      <c r="AG161" s="198"/>
      <c r="AH161" s="198"/>
    </row>
    <row r="162" ht="15.75" customHeight="1">
      <c r="A162" s="198"/>
      <c r="B162" s="198"/>
      <c r="C162" s="198"/>
      <c r="D162" s="198"/>
      <c r="E162" s="198"/>
      <c r="F162" s="198"/>
      <c r="G162" s="199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9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</row>
    <row r="163" ht="15.75" customHeight="1">
      <c r="A163" s="198"/>
      <c r="B163" s="198"/>
      <c r="C163" s="198"/>
      <c r="D163" s="198"/>
      <c r="E163" s="198"/>
      <c r="F163" s="198"/>
      <c r="G163" s="199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9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198"/>
    </row>
    <row r="164" ht="15.75" customHeight="1">
      <c r="A164" s="198"/>
      <c r="B164" s="198"/>
      <c r="C164" s="198"/>
      <c r="D164" s="198"/>
      <c r="E164" s="198"/>
      <c r="F164" s="198"/>
      <c r="G164" s="199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9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</row>
    <row r="165" ht="15.75" customHeight="1">
      <c r="A165" s="198"/>
      <c r="B165" s="198"/>
      <c r="C165" s="198"/>
      <c r="D165" s="198"/>
      <c r="E165" s="198"/>
      <c r="F165" s="198"/>
      <c r="G165" s="199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9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198"/>
    </row>
    <row r="166" ht="15.75" customHeight="1">
      <c r="A166" s="198"/>
      <c r="B166" s="198"/>
      <c r="C166" s="198"/>
      <c r="D166" s="198"/>
      <c r="E166" s="198"/>
      <c r="F166" s="198"/>
      <c r="G166" s="199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9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198"/>
    </row>
    <row r="167" ht="15.75" customHeight="1">
      <c r="A167" s="198"/>
      <c r="B167" s="198"/>
      <c r="C167" s="198"/>
      <c r="D167" s="198"/>
      <c r="E167" s="198"/>
      <c r="F167" s="198"/>
      <c r="G167" s="199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9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</row>
    <row r="168" ht="15.75" customHeight="1">
      <c r="A168" s="198"/>
      <c r="B168" s="198"/>
      <c r="C168" s="198"/>
      <c r="D168" s="198"/>
      <c r="E168" s="198"/>
      <c r="F168" s="198"/>
      <c r="G168" s="199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9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198"/>
    </row>
    <row r="169" ht="15.75" customHeight="1">
      <c r="A169" s="198"/>
      <c r="B169" s="198"/>
      <c r="C169" s="198"/>
      <c r="D169" s="198"/>
      <c r="E169" s="198"/>
      <c r="F169" s="198"/>
      <c r="G169" s="199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9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198"/>
    </row>
    <row r="170" ht="15.75" customHeight="1">
      <c r="A170" s="198"/>
      <c r="B170" s="198"/>
      <c r="C170" s="198"/>
      <c r="D170" s="198"/>
      <c r="E170" s="198"/>
      <c r="F170" s="198"/>
      <c r="G170" s="199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9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</row>
    <row r="171" ht="15.75" customHeight="1">
      <c r="A171" s="198"/>
      <c r="B171" s="198"/>
      <c r="C171" s="198"/>
      <c r="D171" s="198"/>
      <c r="E171" s="198"/>
      <c r="F171" s="198"/>
      <c r="G171" s="199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9"/>
      <c r="W171" s="198"/>
      <c r="X171" s="198"/>
      <c r="Y171" s="198"/>
      <c r="Z171" s="198"/>
      <c r="AA171" s="198"/>
      <c r="AB171" s="198"/>
      <c r="AC171" s="198"/>
      <c r="AD171" s="198"/>
      <c r="AE171" s="198"/>
      <c r="AF171" s="198"/>
      <c r="AG171" s="198"/>
      <c r="AH171" s="198"/>
    </row>
    <row r="172" ht="15.75" customHeight="1">
      <c r="A172" s="198"/>
      <c r="B172" s="198"/>
      <c r="C172" s="198"/>
      <c r="D172" s="198"/>
      <c r="E172" s="198"/>
      <c r="F172" s="198"/>
      <c r="G172" s="199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9"/>
      <c r="W172" s="198"/>
      <c r="X172" s="198"/>
      <c r="Y172" s="198"/>
      <c r="Z172" s="198"/>
      <c r="AA172" s="198"/>
      <c r="AB172" s="198"/>
      <c r="AC172" s="198"/>
      <c r="AD172" s="198"/>
      <c r="AE172" s="198"/>
      <c r="AF172" s="198"/>
      <c r="AG172" s="198"/>
      <c r="AH172" s="198"/>
    </row>
    <row r="173" ht="15.75" customHeight="1">
      <c r="A173" s="198"/>
      <c r="B173" s="198"/>
      <c r="C173" s="198"/>
      <c r="D173" s="198"/>
      <c r="E173" s="198"/>
      <c r="F173" s="198"/>
      <c r="G173" s="199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9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</row>
    <row r="174" ht="15.75" customHeight="1">
      <c r="A174" s="198"/>
      <c r="B174" s="198"/>
      <c r="C174" s="198"/>
      <c r="D174" s="198"/>
      <c r="E174" s="198"/>
      <c r="F174" s="198"/>
      <c r="G174" s="199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9"/>
      <c r="W174" s="198"/>
      <c r="X174" s="198"/>
      <c r="Y174" s="198"/>
      <c r="Z174" s="198"/>
      <c r="AA174" s="198"/>
      <c r="AB174" s="198"/>
      <c r="AC174" s="198"/>
      <c r="AD174" s="198"/>
      <c r="AE174" s="198"/>
      <c r="AF174" s="198"/>
      <c r="AG174" s="198"/>
      <c r="AH174" s="198"/>
    </row>
    <row r="175" ht="15.75" customHeight="1">
      <c r="A175" s="198"/>
      <c r="B175" s="198"/>
      <c r="C175" s="198"/>
      <c r="D175" s="198"/>
      <c r="E175" s="198"/>
      <c r="F175" s="198"/>
      <c r="G175" s="199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9"/>
      <c r="W175" s="198"/>
      <c r="X175" s="198"/>
      <c r="Y175" s="198"/>
      <c r="Z175" s="198"/>
      <c r="AA175" s="198"/>
      <c r="AB175" s="198"/>
      <c r="AC175" s="198"/>
      <c r="AD175" s="198"/>
      <c r="AE175" s="198"/>
      <c r="AF175" s="198"/>
      <c r="AG175" s="198"/>
      <c r="AH175" s="198"/>
    </row>
    <row r="176" ht="15.75" customHeight="1">
      <c r="A176" s="198"/>
      <c r="B176" s="198"/>
      <c r="C176" s="198"/>
      <c r="D176" s="198"/>
      <c r="E176" s="198"/>
      <c r="F176" s="198"/>
      <c r="G176" s="199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9"/>
      <c r="W176" s="198"/>
      <c r="X176" s="198"/>
      <c r="Y176" s="198"/>
      <c r="Z176" s="198"/>
      <c r="AA176" s="198"/>
      <c r="AB176" s="198"/>
      <c r="AC176" s="198"/>
      <c r="AD176" s="198"/>
      <c r="AE176" s="198"/>
      <c r="AF176" s="198"/>
      <c r="AG176" s="198"/>
      <c r="AH176" s="198"/>
    </row>
    <row r="177" ht="15.75" customHeight="1">
      <c r="A177" s="198"/>
      <c r="B177" s="198"/>
      <c r="C177" s="198"/>
      <c r="D177" s="198"/>
      <c r="E177" s="198"/>
      <c r="F177" s="198"/>
      <c r="G177" s="199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9"/>
      <c r="W177" s="198"/>
      <c r="X177" s="198"/>
      <c r="Y177" s="198"/>
      <c r="Z177" s="198"/>
      <c r="AA177" s="198"/>
      <c r="AB177" s="198"/>
      <c r="AC177" s="198"/>
      <c r="AD177" s="198"/>
      <c r="AE177" s="198"/>
      <c r="AF177" s="198"/>
      <c r="AG177" s="198"/>
      <c r="AH177" s="198"/>
    </row>
    <row r="178" ht="15.75" customHeight="1">
      <c r="A178" s="198"/>
      <c r="B178" s="198"/>
      <c r="C178" s="198"/>
      <c r="D178" s="198"/>
      <c r="E178" s="198"/>
      <c r="F178" s="198"/>
      <c r="G178" s="199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9"/>
      <c r="W178" s="198"/>
      <c r="X178" s="198"/>
      <c r="Y178" s="198"/>
      <c r="Z178" s="198"/>
      <c r="AA178" s="198"/>
      <c r="AB178" s="198"/>
      <c r="AC178" s="198"/>
      <c r="AD178" s="198"/>
      <c r="AE178" s="198"/>
      <c r="AF178" s="198"/>
      <c r="AG178" s="198"/>
      <c r="AH178" s="198"/>
    </row>
    <row r="179" ht="15.75" customHeight="1">
      <c r="A179" s="198"/>
      <c r="B179" s="198"/>
      <c r="C179" s="198"/>
      <c r="D179" s="198"/>
      <c r="E179" s="198"/>
      <c r="F179" s="198"/>
      <c r="G179" s="199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9"/>
      <c r="W179" s="198"/>
      <c r="X179" s="198"/>
      <c r="Y179" s="198"/>
      <c r="Z179" s="198"/>
      <c r="AA179" s="198"/>
      <c r="AB179" s="198"/>
      <c r="AC179" s="198"/>
      <c r="AD179" s="198"/>
      <c r="AE179" s="198"/>
      <c r="AF179" s="198"/>
      <c r="AG179" s="198"/>
      <c r="AH179" s="198"/>
    </row>
    <row r="180" ht="15.75" customHeight="1">
      <c r="A180" s="198"/>
      <c r="B180" s="198"/>
      <c r="C180" s="198"/>
      <c r="D180" s="198"/>
      <c r="E180" s="198"/>
      <c r="F180" s="198"/>
      <c r="G180" s="199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9"/>
      <c r="W180" s="198"/>
      <c r="X180" s="198"/>
      <c r="Y180" s="198"/>
      <c r="Z180" s="198"/>
      <c r="AA180" s="198"/>
      <c r="AB180" s="198"/>
      <c r="AC180" s="198"/>
      <c r="AD180" s="198"/>
      <c r="AE180" s="198"/>
      <c r="AF180" s="198"/>
      <c r="AG180" s="198"/>
      <c r="AH180" s="198"/>
    </row>
    <row r="181" ht="15.75" customHeight="1">
      <c r="A181" s="198"/>
      <c r="B181" s="198"/>
      <c r="C181" s="198"/>
      <c r="D181" s="198"/>
      <c r="E181" s="198"/>
      <c r="F181" s="198"/>
      <c r="G181" s="199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9"/>
      <c r="W181" s="198"/>
      <c r="X181" s="198"/>
      <c r="Y181" s="198"/>
      <c r="Z181" s="198"/>
      <c r="AA181" s="198"/>
      <c r="AB181" s="198"/>
      <c r="AC181" s="198"/>
      <c r="AD181" s="198"/>
      <c r="AE181" s="198"/>
      <c r="AF181" s="198"/>
      <c r="AG181" s="198"/>
      <c r="AH181" s="198"/>
    </row>
    <row r="182" ht="15.75" customHeight="1">
      <c r="A182" s="198"/>
      <c r="B182" s="198"/>
      <c r="C182" s="198"/>
      <c r="D182" s="198"/>
      <c r="E182" s="198"/>
      <c r="F182" s="198"/>
      <c r="G182" s="199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9"/>
      <c r="W182" s="198"/>
      <c r="X182" s="198"/>
      <c r="Y182" s="198"/>
      <c r="Z182" s="198"/>
      <c r="AA182" s="198"/>
      <c r="AB182" s="198"/>
      <c r="AC182" s="198"/>
      <c r="AD182" s="198"/>
      <c r="AE182" s="198"/>
      <c r="AF182" s="198"/>
      <c r="AG182" s="198"/>
      <c r="AH182" s="198"/>
    </row>
    <row r="183" ht="15.75" customHeight="1">
      <c r="A183" s="198"/>
      <c r="B183" s="198"/>
      <c r="C183" s="198"/>
      <c r="D183" s="198"/>
      <c r="E183" s="198"/>
      <c r="F183" s="198"/>
      <c r="G183" s="199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9"/>
      <c r="W183" s="198"/>
      <c r="X183" s="198"/>
      <c r="Y183" s="198"/>
      <c r="Z183" s="198"/>
      <c r="AA183" s="198"/>
      <c r="AB183" s="198"/>
      <c r="AC183" s="198"/>
      <c r="AD183" s="198"/>
      <c r="AE183" s="198"/>
      <c r="AF183" s="198"/>
      <c r="AG183" s="198"/>
      <c r="AH183" s="198"/>
    </row>
    <row r="184" ht="15.75" customHeight="1">
      <c r="A184" s="198"/>
      <c r="B184" s="198"/>
      <c r="C184" s="198"/>
      <c r="D184" s="198"/>
      <c r="E184" s="198"/>
      <c r="F184" s="198"/>
      <c r="G184" s="199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9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</row>
    <row r="185" ht="15.75" customHeight="1">
      <c r="A185" s="198"/>
      <c r="B185" s="198"/>
      <c r="C185" s="198"/>
      <c r="D185" s="198"/>
      <c r="E185" s="198"/>
      <c r="F185" s="198"/>
      <c r="G185" s="199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9"/>
      <c r="W185" s="198"/>
      <c r="X185" s="198"/>
      <c r="Y185" s="198"/>
      <c r="Z185" s="198"/>
      <c r="AA185" s="198"/>
      <c r="AB185" s="198"/>
      <c r="AC185" s="198"/>
      <c r="AD185" s="198"/>
      <c r="AE185" s="198"/>
      <c r="AF185" s="198"/>
      <c r="AG185" s="198"/>
      <c r="AH185" s="198"/>
    </row>
    <row r="186" ht="15.75" customHeight="1">
      <c r="A186" s="198"/>
      <c r="B186" s="198"/>
      <c r="C186" s="198"/>
      <c r="D186" s="198"/>
      <c r="E186" s="198"/>
      <c r="F186" s="198"/>
      <c r="G186" s="199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9"/>
      <c r="W186" s="198"/>
      <c r="X186" s="198"/>
      <c r="Y186" s="198"/>
      <c r="Z186" s="198"/>
      <c r="AA186" s="198"/>
      <c r="AB186" s="198"/>
      <c r="AC186" s="198"/>
      <c r="AD186" s="198"/>
      <c r="AE186" s="198"/>
      <c r="AF186" s="198"/>
      <c r="AG186" s="198"/>
      <c r="AH186" s="198"/>
    </row>
    <row r="187" ht="15.75" customHeight="1">
      <c r="A187" s="198"/>
      <c r="B187" s="198"/>
      <c r="C187" s="198"/>
      <c r="D187" s="198"/>
      <c r="E187" s="198"/>
      <c r="F187" s="198"/>
      <c r="G187" s="199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9"/>
      <c r="W187" s="198"/>
      <c r="X187" s="198"/>
      <c r="Y187" s="198"/>
      <c r="Z187" s="198"/>
      <c r="AA187" s="198"/>
      <c r="AB187" s="198"/>
      <c r="AC187" s="198"/>
      <c r="AD187" s="198"/>
      <c r="AE187" s="198"/>
      <c r="AF187" s="198"/>
      <c r="AG187" s="198"/>
      <c r="AH187" s="198"/>
    </row>
    <row r="188" ht="15.75" customHeight="1">
      <c r="A188" s="198"/>
      <c r="B188" s="198"/>
      <c r="C188" s="198"/>
      <c r="D188" s="198"/>
      <c r="E188" s="198"/>
      <c r="F188" s="198"/>
      <c r="G188" s="199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9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</row>
    <row r="189" ht="15.75" customHeight="1">
      <c r="A189" s="198"/>
      <c r="B189" s="198"/>
      <c r="C189" s="198"/>
      <c r="D189" s="198"/>
      <c r="E189" s="198"/>
      <c r="F189" s="198"/>
      <c r="G189" s="199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9"/>
      <c r="W189" s="198"/>
      <c r="X189" s="198"/>
      <c r="Y189" s="198"/>
      <c r="Z189" s="198"/>
      <c r="AA189" s="198"/>
      <c r="AB189" s="198"/>
      <c r="AC189" s="198"/>
      <c r="AD189" s="198"/>
      <c r="AE189" s="198"/>
      <c r="AF189" s="198"/>
      <c r="AG189" s="198"/>
      <c r="AH189" s="198"/>
    </row>
    <row r="190" ht="15.75" customHeight="1">
      <c r="A190" s="198"/>
      <c r="B190" s="198"/>
      <c r="C190" s="198"/>
      <c r="D190" s="198"/>
      <c r="E190" s="198"/>
      <c r="F190" s="198"/>
      <c r="G190" s="199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9"/>
      <c r="W190" s="198"/>
      <c r="X190" s="198"/>
      <c r="Y190" s="198"/>
      <c r="Z190" s="198"/>
      <c r="AA190" s="198"/>
      <c r="AB190" s="198"/>
      <c r="AC190" s="198"/>
      <c r="AD190" s="198"/>
      <c r="AE190" s="198"/>
      <c r="AF190" s="198"/>
      <c r="AG190" s="198"/>
      <c r="AH190" s="198"/>
    </row>
    <row r="191" ht="15.75" customHeight="1">
      <c r="A191" s="198"/>
      <c r="B191" s="198"/>
      <c r="C191" s="198"/>
      <c r="D191" s="198"/>
      <c r="E191" s="198"/>
      <c r="F191" s="198"/>
      <c r="G191" s="199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9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</row>
    <row r="192" ht="15.75" customHeight="1">
      <c r="A192" s="198"/>
      <c r="B192" s="198"/>
      <c r="C192" s="198"/>
      <c r="D192" s="198"/>
      <c r="E192" s="198"/>
      <c r="F192" s="198"/>
      <c r="G192" s="199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9"/>
      <c r="W192" s="198"/>
      <c r="X192" s="198"/>
      <c r="Y192" s="198"/>
      <c r="Z192" s="198"/>
      <c r="AA192" s="198"/>
      <c r="AB192" s="198"/>
      <c r="AC192" s="198"/>
      <c r="AD192" s="198"/>
      <c r="AE192" s="198"/>
      <c r="AF192" s="198"/>
      <c r="AG192" s="198"/>
      <c r="AH192" s="198"/>
    </row>
    <row r="193" ht="15.75" customHeight="1">
      <c r="A193" s="198"/>
      <c r="B193" s="198"/>
      <c r="C193" s="198"/>
      <c r="D193" s="198"/>
      <c r="E193" s="198"/>
      <c r="F193" s="198"/>
      <c r="G193" s="199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9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</row>
    <row r="194" ht="15.75" customHeight="1">
      <c r="A194" s="198"/>
      <c r="B194" s="198"/>
      <c r="C194" s="198"/>
      <c r="D194" s="198"/>
      <c r="E194" s="198"/>
      <c r="F194" s="198"/>
      <c r="G194" s="199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9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</row>
    <row r="195" ht="15.75" customHeight="1">
      <c r="A195" s="198"/>
      <c r="B195" s="198"/>
      <c r="C195" s="198"/>
      <c r="D195" s="198"/>
      <c r="E195" s="198"/>
      <c r="F195" s="198"/>
      <c r="G195" s="199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9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</row>
    <row r="196" ht="15.75" customHeight="1">
      <c r="A196" s="198"/>
      <c r="B196" s="198"/>
      <c r="C196" s="198"/>
      <c r="D196" s="198"/>
      <c r="E196" s="198"/>
      <c r="F196" s="198"/>
      <c r="G196" s="199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9"/>
      <c r="W196" s="198"/>
      <c r="X196" s="198"/>
      <c r="Y196" s="198"/>
      <c r="Z196" s="198"/>
      <c r="AA196" s="198"/>
      <c r="AB196" s="198"/>
      <c r="AC196" s="198"/>
      <c r="AD196" s="198"/>
      <c r="AE196" s="198"/>
      <c r="AF196" s="198"/>
      <c r="AG196" s="198"/>
      <c r="AH196" s="198"/>
    </row>
    <row r="197" ht="15.75" customHeight="1">
      <c r="A197" s="198"/>
      <c r="B197" s="198"/>
      <c r="C197" s="198"/>
      <c r="D197" s="198"/>
      <c r="E197" s="198"/>
      <c r="F197" s="198"/>
      <c r="G197" s="199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9"/>
      <c r="W197" s="198"/>
      <c r="X197" s="198"/>
      <c r="Y197" s="198"/>
      <c r="Z197" s="198"/>
      <c r="AA197" s="198"/>
      <c r="AB197" s="198"/>
      <c r="AC197" s="198"/>
      <c r="AD197" s="198"/>
      <c r="AE197" s="198"/>
      <c r="AF197" s="198"/>
      <c r="AG197" s="198"/>
      <c r="AH197" s="198"/>
    </row>
    <row r="198" ht="15.75" customHeight="1">
      <c r="A198" s="198"/>
      <c r="B198" s="198"/>
      <c r="C198" s="198"/>
      <c r="D198" s="198"/>
      <c r="E198" s="198"/>
      <c r="F198" s="198"/>
      <c r="G198" s="199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9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</row>
    <row r="199" ht="15.75" customHeight="1">
      <c r="A199" s="198"/>
      <c r="B199" s="198"/>
      <c r="C199" s="198"/>
      <c r="D199" s="198"/>
      <c r="E199" s="198"/>
      <c r="F199" s="198"/>
      <c r="G199" s="199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9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</row>
    <row r="200" ht="15.75" customHeight="1">
      <c r="A200" s="198"/>
      <c r="B200" s="198"/>
      <c r="C200" s="198"/>
      <c r="D200" s="198"/>
      <c r="E200" s="198"/>
      <c r="F200" s="198"/>
      <c r="G200" s="199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9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</row>
    <row r="201" ht="15.75" customHeight="1">
      <c r="A201" s="198"/>
      <c r="B201" s="198"/>
      <c r="C201" s="198"/>
      <c r="D201" s="198"/>
      <c r="E201" s="198"/>
      <c r="F201" s="198"/>
      <c r="G201" s="199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9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</row>
    <row r="202" ht="15.75" customHeight="1">
      <c r="A202" s="198"/>
      <c r="B202" s="198"/>
      <c r="C202" s="198"/>
      <c r="D202" s="198"/>
      <c r="E202" s="198"/>
      <c r="F202" s="198"/>
      <c r="G202" s="199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9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</row>
    <row r="203" ht="15.75" customHeight="1">
      <c r="A203" s="198"/>
      <c r="B203" s="198"/>
      <c r="C203" s="198"/>
      <c r="D203" s="198"/>
      <c r="E203" s="198"/>
      <c r="F203" s="198"/>
      <c r="G203" s="199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9"/>
      <c r="W203" s="198"/>
      <c r="X203" s="198"/>
      <c r="Y203" s="198"/>
      <c r="Z203" s="198"/>
      <c r="AA203" s="198"/>
      <c r="AB203" s="198"/>
      <c r="AC203" s="198"/>
      <c r="AD203" s="198"/>
      <c r="AE203" s="198"/>
      <c r="AF203" s="198"/>
      <c r="AG203" s="198"/>
      <c r="AH203" s="198"/>
    </row>
    <row r="204" ht="15.75" customHeight="1">
      <c r="A204" s="198"/>
      <c r="B204" s="198"/>
      <c r="C204" s="198"/>
      <c r="D204" s="198"/>
      <c r="E204" s="198"/>
      <c r="F204" s="198"/>
      <c r="G204" s="199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9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</row>
    <row r="205" ht="15.75" customHeight="1">
      <c r="A205" s="198"/>
      <c r="B205" s="198"/>
      <c r="C205" s="198"/>
      <c r="D205" s="198"/>
      <c r="E205" s="198"/>
      <c r="F205" s="198"/>
      <c r="G205" s="199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9"/>
      <c r="W205" s="198"/>
      <c r="X205" s="198"/>
      <c r="Y205" s="198"/>
      <c r="Z205" s="198"/>
      <c r="AA205" s="198"/>
      <c r="AB205" s="198"/>
      <c r="AC205" s="198"/>
      <c r="AD205" s="198"/>
      <c r="AE205" s="198"/>
      <c r="AF205" s="198"/>
      <c r="AG205" s="198"/>
      <c r="AH205" s="198"/>
    </row>
    <row r="206" ht="15.75" customHeight="1">
      <c r="A206" s="198"/>
      <c r="B206" s="198"/>
      <c r="C206" s="198"/>
      <c r="D206" s="198"/>
      <c r="E206" s="198"/>
      <c r="F206" s="198"/>
      <c r="G206" s="199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9"/>
      <c r="W206" s="198"/>
      <c r="X206" s="198"/>
      <c r="Y206" s="198"/>
      <c r="Z206" s="198"/>
      <c r="AA206" s="198"/>
      <c r="AB206" s="198"/>
      <c r="AC206" s="198"/>
      <c r="AD206" s="198"/>
      <c r="AE206" s="198"/>
      <c r="AF206" s="198"/>
      <c r="AG206" s="198"/>
      <c r="AH206" s="198"/>
    </row>
    <row r="207" ht="15.75" customHeight="1">
      <c r="A207" s="198"/>
      <c r="B207" s="198"/>
      <c r="C207" s="198"/>
      <c r="D207" s="198"/>
      <c r="E207" s="198"/>
      <c r="F207" s="198"/>
      <c r="G207" s="199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9"/>
      <c r="W207" s="198"/>
      <c r="X207" s="198"/>
      <c r="Y207" s="198"/>
      <c r="Z207" s="198"/>
      <c r="AA207" s="198"/>
      <c r="AB207" s="198"/>
      <c r="AC207" s="198"/>
      <c r="AD207" s="198"/>
      <c r="AE207" s="198"/>
      <c r="AF207" s="198"/>
      <c r="AG207" s="198"/>
      <c r="AH207" s="198"/>
    </row>
    <row r="208" ht="15.75" customHeight="1">
      <c r="A208" s="198"/>
      <c r="B208" s="198"/>
      <c r="C208" s="198"/>
      <c r="D208" s="198"/>
      <c r="E208" s="198"/>
      <c r="F208" s="198"/>
      <c r="G208" s="199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9"/>
      <c r="W208" s="198"/>
      <c r="X208" s="198"/>
      <c r="Y208" s="198"/>
      <c r="Z208" s="198"/>
      <c r="AA208" s="198"/>
      <c r="AB208" s="198"/>
      <c r="AC208" s="198"/>
      <c r="AD208" s="198"/>
      <c r="AE208" s="198"/>
      <c r="AF208" s="198"/>
      <c r="AG208" s="198"/>
      <c r="AH208" s="198"/>
    </row>
    <row r="209" ht="15.75" customHeight="1">
      <c r="A209" s="198"/>
      <c r="B209" s="198"/>
      <c r="C209" s="198"/>
      <c r="D209" s="198"/>
      <c r="E209" s="198"/>
      <c r="F209" s="198"/>
      <c r="G209" s="199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9"/>
      <c r="W209" s="198"/>
      <c r="X209" s="198"/>
      <c r="Y209" s="198"/>
      <c r="Z209" s="198"/>
      <c r="AA209" s="198"/>
      <c r="AB209" s="198"/>
      <c r="AC209" s="198"/>
      <c r="AD209" s="198"/>
      <c r="AE209" s="198"/>
      <c r="AF209" s="198"/>
      <c r="AG209" s="198"/>
      <c r="AH209" s="198"/>
    </row>
    <row r="210" ht="15.75" customHeight="1">
      <c r="A210" s="198"/>
      <c r="B210" s="198"/>
      <c r="C210" s="198"/>
      <c r="D210" s="198"/>
      <c r="E210" s="198"/>
      <c r="F210" s="198"/>
      <c r="G210" s="199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9"/>
      <c r="W210" s="198"/>
      <c r="X210" s="198"/>
      <c r="Y210" s="198"/>
      <c r="Z210" s="198"/>
      <c r="AA210" s="198"/>
      <c r="AB210" s="198"/>
      <c r="AC210" s="198"/>
      <c r="AD210" s="198"/>
      <c r="AE210" s="198"/>
      <c r="AF210" s="198"/>
      <c r="AG210" s="198"/>
      <c r="AH210" s="198"/>
    </row>
    <row r="211" ht="15.75" customHeight="1">
      <c r="A211" s="198"/>
      <c r="B211" s="198"/>
      <c r="C211" s="198"/>
      <c r="D211" s="198"/>
      <c r="E211" s="198"/>
      <c r="F211" s="198"/>
      <c r="G211" s="199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9"/>
      <c r="W211" s="198"/>
      <c r="X211" s="198"/>
      <c r="Y211" s="198"/>
      <c r="Z211" s="198"/>
      <c r="AA211" s="198"/>
      <c r="AB211" s="198"/>
      <c r="AC211" s="198"/>
      <c r="AD211" s="198"/>
      <c r="AE211" s="198"/>
      <c r="AF211" s="198"/>
      <c r="AG211" s="198"/>
      <c r="AH211" s="198"/>
    </row>
    <row r="212" ht="15.75" customHeight="1">
      <c r="A212" s="198"/>
      <c r="B212" s="198"/>
      <c r="C212" s="198"/>
      <c r="D212" s="198"/>
      <c r="E212" s="198"/>
      <c r="F212" s="198"/>
      <c r="G212" s="199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9"/>
      <c r="W212" s="198"/>
      <c r="X212" s="198"/>
      <c r="Y212" s="198"/>
      <c r="Z212" s="198"/>
      <c r="AA212" s="198"/>
      <c r="AB212" s="198"/>
      <c r="AC212" s="198"/>
      <c r="AD212" s="198"/>
      <c r="AE212" s="198"/>
      <c r="AF212" s="198"/>
      <c r="AG212" s="198"/>
      <c r="AH212" s="198"/>
    </row>
    <row r="213" ht="15.75" customHeight="1">
      <c r="A213" s="198"/>
      <c r="B213" s="198"/>
      <c r="C213" s="198"/>
      <c r="D213" s="198"/>
      <c r="E213" s="198"/>
      <c r="F213" s="198"/>
      <c r="G213" s="199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9"/>
      <c r="W213" s="198"/>
      <c r="X213" s="198"/>
      <c r="Y213" s="198"/>
      <c r="Z213" s="198"/>
      <c r="AA213" s="198"/>
      <c r="AB213" s="198"/>
      <c r="AC213" s="198"/>
      <c r="AD213" s="198"/>
      <c r="AE213" s="198"/>
      <c r="AF213" s="198"/>
      <c r="AG213" s="198"/>
      <c r="AH213" s="198"/>
    </row>
    <row r="214" ht="15.75" customHeight="1">
      <c r="A214" s="198"/>
      <c r="B214" s="198"/>
      <c r="C214" s="198"/>
      <c r="D214" s="198"/>
      <c r="E214" s="198"/>
      <c r="F214" s="198"/>
      <c r="G214" s="199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9"/>
      <c r="W214" s="198"/>
      <c r="X214" s="198"/>
      <c r="Y214" s="198"/>
      <c r="Z214" s="198"/>
      <c r="AA214" s="198"/>
      <c r="AB214" s="198"/>
      <c r="AC214" s="198"/>
      <c r="AD214" s="198"/>
      <c r="AE214" s="198"/>
      <c r="AF214" s="198"/>
      <c r="AG214" s="198"/>
      <c r="AH214" s="198"/>
    </row>
    <row r="215" ht="15.75" customHeight="1">
      <c r="A215" s="198"/>
      <c r="B215" s="198"/>
      <c r="C215" s="198"/>
      <c r="D215" s="198"/>
      <c r="E215" s="198"/>
      <c r="F215" s="198"/>
      <c r="G215" s="199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9"/>
      <c r="W215" s="198"/>
      <c r="X215" s="198"/>
      <c r="Y215" s="198"/>
      <c r="Z215" s="198"/>
      <c r="AA215" s="198"/>
      <c r="AB215" s="198"/>
      <c r="AC215" s="198"/>
      <c r="AD215" s="198"/>
      <c r="AE215" s="198"/>
      <c r="AF215" s="198"/>
      <c r="AG215" s="198"/>
      <c r="AH215" s="198"/>
    </row>
    <row r="216" ht="15.75" customHeight="1">
      <c r="A216" s="198"/>
      <c r="B216" s="198"/>
      <c r="C216" s="198"/>
      <c r="D216" s="198"/>
      <c r="E216" s="198"/>
      <c r="F216" s="198"/>
      <c r="G216" s="199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9"/>
      <c r="W216" s="198"/>
      <c r="X216" s="198"/>
      <c r="Y216" s="198"/>
      <c r="Z216" s="198"/>
      <c r="AA216" s="198"/>
      <c r="AB216" s="198"/>
      <c r="AC216" s="198"/>
      <c r="AD216" s="198"/>
      <c r="AE216" s="198"/>
      <c r="AF216" s="198"/>
      <c r="AG216" s="198"/>
      <c r="AH216" s="198"/>
    </row>
    <row r="217" ht="15.75" customHeight="1">
      <c r="A217" s="198"/>
      <c r="B217" s="198"/>
      <c r="C217" s="198"/>
      <c r="D217" s="198"/>
      <c r="E217" s="198"/>
      <c r="F217" s="198"/>
      <c r="G217" s="199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9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</row>
    <row r="218" ht="15.75" customHeight="1">
      <c r="A218" s="198"/>
      <c r="B218" s="198"/>
      <c r="C218" s="198"/>
      <c r="D218" s="198"/>
      <c r="E218" s="198"/>
      <c r="F218" s="198"/>
      <c r="G218" s="199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9"/>
      <c r="W218" s="198"/>
      <c r="X218" s="198"/>
      <c r="Y218" s="198"/>
      <c r="Z218" s="198"/>
      <c r="AA218" s="198"/>
      <c r="AB218" s="198"/>
      <c r="AC218" s="198"/>
      <c r="AD218" s="198"/>
      <c r="AE218" s="198"/>
      <c r="AF218" s="198"/>
      <c r="AG218" s="198"/>
      <c r="AH218" s="198"/>
    </row>
    <row r="219" ht="15.75" customHeight="1">
      <c r="A219" s="198"/>
      <c r="B219" s="198"/>
      <c r="C219" s="198"/>
      <c r="D219" s="198"/>
      <c r="E219" s="198"/>
      <c r="F219" s="198"/>
      <c r="G219" s="199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9"/>
      <c r="W219" s="198"/>
      <c r="X219" s="198"/>
      <c r="Y219" s="198"/>
      <c r="Z219" s="198"/>
      <c r="AA219" s="198"/>
      <c r="AB219" s="198"/>
      <c r="AC219" s="198"/>
      <c r="AD219" s="198"/>
      <c r="AE219" s="198"/>
      <c r="AF219" s="198"/>
      <c r="AG219" s="198"/>
      <c r="AH219" s="198"/>
    </row>
    <row r="220" ht="15.75" customHeight="1">
      <c r="A220" s="198"/>
      <c r="B220" s="198"/>
      <c r="C220" s="198"/>
      <c r="D220" s="198"/>
      <c r="E220" s="198"/>
      <c r="F220" s="198"/>
      <c r="G220" s="199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9"/>
      <c r="W220" s="198"/>
      <c r="X220" s="198"/>
      <c r="Y220" s="198"/>
      <c r="Z220" s="198"/>
      <c r="AA220" s="198"/>
      <c r="AB220" s="198"/>
      <c r="AC220" s="198"/>
      <c r="AD220" s="198"/>
      <c r="AE220" s="198"/>
      <c r="AF220" s="198"/>
      <c r="AG220" s="198"/>
      <c r="AH220" s="198"/>
    </row>
    <row r="221" ht="15.75" customHeight="1">
      <c r="A221" s="198"/>
      <c r="B221" s="198"/>
      <c r="C221" s="198"/>
      <c r="D221" s="198"/>
      <c r="E221" s="198"/>
      <c r="F221" s="198"/>
      <c r="G221" s="199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9"/>
      <c r="W221" s="198"/>
      <c r="X221" s="198"/>
      <c r="Y221" s="198"/>
      <c r="Z221" s="198"/>
      <c r="AA221" s="198"/>
      <c r="AB221" s="198"/>
      <c r="AC221" s="198"/>
      <c r="AD221" s="198"/>
      <c r="AE221" s="198"/>
      <c r="AF221" s="198"/>
      <c r="AG221" s="198"/>
      <c r="AH221" s="198"/>
    </row>
    <row r="222" ht="15.75" customHeight="1">
      <c r="A222" s="198"/>
      <c r="B222" s="198"/>
      <c r="C222" s="198"/>
      <c r="D222" s="198"/>
      <c r="E222" s="198"/>
      <c r="F222" s="198"/>
      <c r="G222" s="199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9"/>
      <c r="W222" s="198"/>
      <c r="X222" s="198"/>
      <c r="Y222" s="198"/>
      <c r="Z222" s="198"/>
      <c r="AA222" s="198"/>
      <c r="AB222" s="198"/>
      <c r="AC222" s="198"/>
      <c r="AD222" s="198"/>
      <c r="AE222" s="198"/>
      <c r="AF222" s="198"/>
      <c r="AG222" s="198"/>
      <c r="AH222" s="198"/>
    </row>
    <row r="223" ht="15.75" customHeight="1">
      <c r="A223" s="198"/>
      <c r="B223" s="198"/>
      <c r="C223" s="198"/>
      <c r="D223" s="198"/>
      <c r="E223" s="198"/>
      <c r="F223" s="198"/>
      <c r="G223" s="199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9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</row>
    <row r="224" ht="15.75" customHeight="1">
      <c r="A224" s="198"/>
      <c r="B224" s="198"/>
      <c r="C224" s="198"/>
      <c r="D224" s="198"/>
      <c r="E224" s="198"/>
      <c r="F224" s="198"/>
      <c r="G224" s="199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9"/>
      <c r="W224" s="198"/>
      <c r="X224" s="198"/>
      <c r="Y224" s="198"/>
      <c r="Z224" s="198"/>
      <c r="AA224" s="198"/>
      <c r="AB224" s="198"/>
      <c r="AC224" s="198"/>
      <c r="AD224" s="198"/>
      <c r="AE224" s="198"/>
      <c r="AF224" s="198"/>
      <c r="AG224" s="198"/>
      <c r="AH224" s="198"/>
    </row>
    <row r="225" ht="15.75" customHeight="1">
      <c r="A225" s="198"/>
      <c r="B225" s="198"/>
      <c r="C225" s="198"/>
      <c r="D225" s="198"/>
      <c r="E225" s="198"/>
      <c r="F225" s="198"/>
      <c r="G225" s="199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9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</row>
    <row r="226" ht="15.75" customHeight="1">
      <c r="A226" s="198"/>
      <c r="B226" s="198"/>
      <c r="C226" s="198"/>
      <c r="D226" s="198"/>
      <c r="E226" s="198"/>
      <c r="F226" s="198"/>
      <c r="G226" s="199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9"/>
      <c r="W226" s="198"/>
      <c r="X226" s="198"/>
      <c r="Y226" s="198"/>
      <c r="Z226" s="198"/>
      <c r="AA226" s="198"/>
      <c r="AB226" s="198"/>
      <c r="AC226" s="198"/>
      <c r="AD226" s="198"/>
      <c r="AE226" s="198"/>
      <c r="AF226" s="198"/>
      <c r="AG226" s="198"/>
      <c r="AH226" s="198"/>
    </row>
    <row r="227" ht="15.75" customHeight="1">
      <c r="A227" s="198"/>
      <c r="B227" s="198"/>
      <c r="C227" s="198"/>
      <c r="D227" s="198"/>
      <c r="E227" s="198"/>
      <c r="F227" s="198"/>
      <c r="G227" s="199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9"/>
      <c r="W227" s="198"/>
      <c r="X227" s="198"/>
      <c r="Y227" s="198"/>
      <c r="Z227" s="198"/>
      <c r="AA227" s="198"/>
      <c r="AB227" s="198"/>
      <c r="AC227" s="198"/>
      <c r="AD227" s="198"/>
      <c r="AE227" s="198"/>
      <c r="AF227" s="198"/>
      <c r="AG227" s="198"/>
      <c r="AH227" s="198"/>
    </row>
    <row r="228" ht="15.75" customHeight="1">
      <c r="A228" s="198"/>
      <c r="B228" s="198"/>
      <c r="C228" s="198"/>
      <c r="D228" s="198"/>
      <c r="E228" s="198"/>
      <c r="F228" s="198"/>
      <c r="G228" s="199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9"/>
      <c r="W228" s="198"/>
      <c r="X228" s="198"/>
      <c r="Y228" s="198"/>
      <c r="Z228" s="198"/>
      <c r="AA228" s="198"/>
      <c r="AB228" s="198"/>
      <c r="AC228" s="198"/>
      <c r="AD228" s="198"/>
      <c r="AE228" s="198"/>
      <c r="AF228" s="198"/>
      <c r="AG228" s="198"/>
      <c r="AH228" s="198"/>
    </row>
    <row r="229" ht="15.75" customHeight="1">
      <c r="A229" s="198"/>
      <c r="B229" s="198"/>
      <c r="C229" s="198"/>
      <c r="D229" s="198"/>
      <c r="E229" s="198"/>
      <c r="F229" s="198"/>
      <c r="G229" s="199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9"/>
      <c r="W229" s="198"/>
      <c r="X229" s="198"/>
      <c r="Y229" s="198"/>
      <c r="Z229" s="198"/>
      <c r="AA229" s="198"/>
      <c r="AB229" s="198"/>
      <c r="AC229" s="198"/>
      <c r="AD229" s="198"/>
      <c r="AE229" s="198"/>
      <c r="AF229" s="198"/>
      <c r="AG229" s="198"/>
      <c r="AH229" s="198"/>
    </row>
    <row r="230" ht="15.75" customHeight="1">
      <c r="A230" s="198"/>
      <c r="B230" s="198"/>
      <c r="C230" s="198"/>
      <c r="D230" s="198"/>
      <c r="E230" s="198"/>
      <c r="F230" s="198"/>
      <c r="G230" s="199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9"/>
      <c r="W230" s="198"/>
      <c r="X230" s="198"/>
      <c r="Y230" s="198"/>
      <c r="Z230" s="198"/>
      <c r="AA230" s="198"/>
      <c r="AB230" s="198"/>
      <c r="AC230" s="198"/>
      <c r="AD230" s="198"/>
      <c r="AE230" s="198"/>
      <c r="AF230" s="198"/>
      <c r="AG230" s="198"/>
      <c r="AH230" s="198"/>
    </row>
    <row r="231" ht="15.75" customHeight="1">
      <c r="A231" s="198"/>
      <c r="B231" s="198"/>
      <c r="C231" s="198"/>
      <c r="D231" s="198"/>
      <c r="E231" s="198"/>
      <c r="F231" s="198"/>
      <c r="G231" s="199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9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</row>
    <row r="232" ht="15.75" customHeight="1">
      <c r="A232" s="198"/>
      <c r="B232" s="198"/>
      <c r="C232" s="198"/>
      <c r="D232" s="198"/>
      <c r="E232" s="198"/>
      <c r="F232" s="198"/>
      <c r="G232" s="199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9"/>
      <c r="W232" s="198"/>
      <c r="X232" s="198"/>
      <c r="Y232" s="198"/>
      <c r="Z232" s="198"/>
      <c r="AA232" s="198"/>
      <c r="AB232" s="198"/>
      <c r="AC232" s="198"/>
      <c r="AD232" s="198"/>
      <c r="AE232" s="198"/>
      <c r="AF232" s="198"/>
      <c r="AG232" s="198"/>
      <c r="AH232" s="198"/>
    </row>
    <row r="233" ht="15.75" customHeight="1">
      <c r="A233" s="198"/>
      <c r="B233" s="198"/>
      <c r="C233" s="198"/>
      <c r="D233" s="198"/>
      <c r="E233" s="198"/>
      <c r="F233" s="198"/>
      <c r="G233" s="199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9"/>
      <c r="W233" s="198"/>
      <c r="X233" s="198"/>
      <c r="Y233" s="198"/>
      <c r="Z233" s="198"/>
      <c r="AA233" s="198"/>
      <c r="AB233" s="198"/>
      <c r="AC233" s="198"/>
      <c r="AD233" s="198"/>
      <c r="AE233" s="198"/>
      <c r="AF233" s="198"/>
      <c r="AG233" s="198"/>
      <c r="AH233" s="198"/>
    </row>
    <row r="234" ht="15.75" customHeight="1">
      <c r="A234" s="198"/>
      <c r="B234" s="198"/>
      <c r="C234" s="198"/>
      <c r="D234" s="198"/>
      <c r="E234" s="198"/>
      <c r="F234" s="198"/>
      <c r="G234" s="199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9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</row>
    <row r="235" ht="15.75" customHeight="1">
      <c r="A235" s="198"/>
      <c r="B235" s="198"/>
      <c r="C235" s="198"/>
      <c r="D235" s="198"/>
      <c r="E235" s="198"/>
      <c r="F235" s="198"/>
      <c r="G235" s="199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9"/>
      <c r="W235" s="198"/>
      <c r="X235" s="198"/>
      <c r="Y235" s="198"/>
      <c r="Z235" s="198"/>
      <c r="AA235" s="198"/>
      <c r="AB235" s="198"/>
      <c r="AC235" s="198"/>
      <c r="AD235" s="198"/>
      <c r="AE235" s="198"/>
      <c r="AF235" s="198"/>
      <c r="AG235" s="198"/>
      <c r="AH235" s="198"/>
    </row>
    <row r="236" ht="15.75" customHeight="1">
      <c r="A236" s="198"/>
      <c r="B236" s="198"/>
      <c r="C236" s="198"/>
      <c r="D236" s="198"/>
      <c r="E236" s="198"/>
      <c r="F236" s="198"/>
      <c r="G236" s="199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9"/>
      <c r="W236" s="198"/>
      <c r="X236" s="198"/>
      <c r="Y236" s="198"/>
      <c r="Z236" s="198"/>
      <c r="AA236" s="198"/>
      <c r="AB236" s="198"/>
      <c r="AC236" s="198"/>
      <c r="AD236" s="198"/>
      <c r="AE236" s="198"/>
      <c r="AF236" s="198"/>
      <c r="AG236" s="198"/>
      <c r="AH236" s="198"/>
    </row>
    <row r="237" ht="15.75" customHeight="1">
      <c r="A237" s="198"/>
      <c r="B237" s="198"/>
      <c r="C237" s="198"/>
      <c r="D237" s="198"/>
      <c r="E237" s="198"/>
      <c r="F237" s="198"/>
      <c r="G237" s="199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9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</row>
    <row r="238" ht="15.75" customHeight="1">
      <c r="A238" s="198"/>
      <c r="B238" s="198"/>
      <c r="C238" s="198"/>
      <c r="D238" s="198"/>
      <c r="E238" s="198"/>
      <c r="F238" s="198"/>
      <c r="G238" s="199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9"/>
      <c r="W238" s="198"/>
      <c r="X238" s="198"/>
      <c r="Y238" s="198"/>
      <c r="Z238" s="198"/>
      <c r="AA238" s="198"/>
      <c r="AB238" s="198"/>
      <c r="AC238" s="198"/>
      <c r="AD238" s="198"/>
      <c r="AE238" s="198"/>
      <c r="AF238" s="198"/>
      <c r="AG238" s="198"/>
      <c r="AH238" s="198"/>
    </row>
    <row r="239" ht="15.75" customHeight="1">
      <c r="A239" s="198"/>
      <c r="B239" s="198"/>
      <c r="C239" s="198"/>
      <c r="D239" s="198"/>
      <c r="E239" s="198"/>
      <c r="F239" s="198"/>
      <c r="G239" s="199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9"/>
      <c r="W239" s="198"/>
      <c r="X239" s="198"/>
      <c r="Y239" s="198"/>
      <c r="Z239" s="198"/>
      <c r="AA239" s="198"/>
      <c r="AB239" s="198"/>
      <c r="AC239" s="198"/>
      <c r="AD239" s="198"/>
      <c r="AE239" s="198"/>
      <c r="AF239" s="198"/>
      <c r="AG239" s="198"/>
      <c r="AH239" s="198"/>
    </row>
    <row r="240" ht="15.75" customHeight="1">
      <c r="A240" s="198"/>
      <c r="B240" s="198"/>
      <c r="C240" s="198"/>
      <c r="D240" s="198"/>
      <c r="E240" s="198"/>
      <c r="F240" s="198"/>
      <c r="G240" s="199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9"/>
      <c r="W240" s="198"/>
      <c r="X240" s="198"/>
      <c r="Y240" s="198"/>
      <c r="Z240" s="198"/>
      <c r="AA240" s="198"/>
      <c r="AB240" s="198"/>
      <c r="AC240" s="198"/>
      <c r="AD240" s="198"/>
      <c r="AE240" s="198"/>
      <c r="AF240" s="198"/>
      <c r="AG240" s="198"/>
      <c r="AH240" s="198"/>
    </row>
    <row r="241" ht="15.75" customHeight="1">
      <c r="A241" s="198"/>
      <c r="B241" s="198"/>
      <c r="C241" s="198"/>
      <c r="D241" s="198"/>
      <c r="E241" s="198"/>
      <c r="F241" s="198"/>
      <c r="G241" s="199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9"/>
      <c r="W241" s="198"/>
      <c r="X241" s="198"/>
      <c r="Y241" s="198"/>
      <c r="Z241" s="198"/>
      <c r="AA241" s="198"/>
      <c r="AB241" s="198"/>
      <c r="AC241" s="198"/>
      <c r="AD241" s="198"/>
      <c r="AE241" s="198"/>
      <c r="AF241" s="198"/>
      <c r="AG241" s="198"/>
      <c r="AH241" s="198"/>
    </row>
    <row r="242" ht="15.75" customHeight="1">
      <c r="A242" s="198"/>
      <c r="B242" s="198"/>
      <c r="C242" s="198"/>
      <c r="D242" s="198"/>
      <c r="E242" s="198"/>
      <c r="F242" s="198"/>
      <c r="G242" s="199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9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4">
    <mergeCell ref="N2:R2"/>
    <mergeCell ref="M4:R4"/>
    <mergeCell ref="M5:R5"/>
    <mergeCell ref="A1:B1"/>
    <mergeCell ref="C1:D1"/>
    <mergeCell ref="E1:M1"/>
    <mergeCell ref="N1:R1"/>
    <mergeCell ref="C2:D2"/>
    <mergeCell ref="E2:M2"/>
    <mergeCell ref="C3:R3"/>
    <mergeCell ref="C5:D5"/>
    <mergeCell ref="E5:I5"/>
    <mergeCell ref="B30:D30"/>
    <mergeCell ref="B39:D39"/>
    <mergeCell ref="B40:D40"/>
    <mergeCell ref="B41:D41"/>
    <mergeCell ref="B42:D42"/>
    <mergeCell ref="A2:B2"/>
    <mergeCell ref="A3:B3"/>
    <mergeCell ref="A4:B4"/>
    <mergeCell ref="C4:D4"/>
    <mergeCell ref="E4:I4"/>
    <mergeCell ref="J4:L4"/>
    <mergeCell ref="A5:B5"/>
  </mergeCells>
  <dataValidations>
    <dataValidation type="list" allowBlank="1" showInputMessage="1" showErrorMessage="1" prompt=" - " sqref="E40:Q40">
      <formula1>"P,F"</formula1>
    </dataValidation>
    <dataValidation type="list" allowBlank="1" showInputMessage="1" showErrorMessage="1" prompt=" - " sqref="E8:Q38">
      <formula1>"O"</formula1>
    </dataValidation>
    <dataValidation type="list" allowBlank="1" showInputMessage="1" showErrorMessage="1" prompt=" - " sqref="E39:Q39">
      <formula1>"N,A,B"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8.38"/>
    <col customWidth="1" min="4" max="4" width="22.88"/>
    <col customWidth="1" min="5" max="25" width="4.88"/>
  </cols>
  <sheetData>
    <row r="1">
      <c r="A1" s="159" t="s">
        <v>195</v>
      </c>
      <c r="B1" s="160"/>
      <c r="C1" s="161" t="s">
        <v>331</v>
      </c>
      <c r="D1" s="162"/>
      <c r="E1" s="163" t="s">
        <v>197</v>
      </c>
      <c r="F1" s="160"/>
      <c r="G1" s="160"/>
      <c r="H1" s="160"/>
      <c r="I1" s="160"/>
      <c r="J1" s="160"/>
      <c r="K1" s="160"/>
      <c r="L1" s="160"/>
      <c r="M1" s="160"/>
      <c r="N1" s="164" t="s">
        <v>198</v>
      </c>
      <c r="O1" s="160"/>
      <c r="P1" s="160"/>
      <c r="Q1" s="160"/>
      <c r="R1" s="165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</row>
    <row r="2">
      <c r="A2" s="168" t="s">
        <v>199</v>
      </c>
      <c r="B2" s="169"/>
      <c r="C2" s="170" t="s">
        <v>159</v>
      </c>
      <c r="D2" s="169"/>
      <c r="E2" s="171" t="s">
        <v>200</v>
      </c>
      <c r="F2" s="172"/>
      <c r="G2" s="172"/>
      <c r="H2" s="172"/>
      <c r="I2" s="172"/>
      <c r="J2" s="172"/>
      <c r="K2" s="172"/>
      <c r="L2" s="172"/>
      <c r="M2" s="173"/>
      <c r="N2" s="174" t="s">
        <v>159</v>
      </c>
      <c r="O2" s="172"/>
      <c r="P2" s="172"/>
      <c r="Q2" s="172"/>
      <c r="R2" s="175"/>
      <c r="S2" s="178"/>
      <c r="T2" s="178"/>
      <c r="U2" s="178"/>
      <c r="V2" s="178"/>
      <c r="W2" s="178"/>
      <c r="X2" s="178"/>
      <c r="Y2" s="178"/>
      <c r="Z2" s="260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</row>
    <row r="3">
      <c r="A3" s="179" t="s">
        <v>201</v>
      </c>
      <c r="B3" s="17"/>
      <c r="C3" s="180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81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</row>
    <row r="4">
      <c r="A4" s="183" t="s">
        <v>164</v>
      </c>
      <c r="B4" s="17"/>
      <c r="C4" s="184" t="s">
        <v>165</v>
      </c>
      <c r="D4" s="17"/>
      <c r="E4" s="184" t="s">
        <v>166</v>
      </c>
      <c r="F4" s="16"/>
      <c r="G4" s="16"/>
      <c r="H4" s="16"/>
      <c r="I4" s="16"/>
      <c r="J4" s="185" t="s">
        <v>202</v>
      </c>
      <c r="K4" s="16"/>
      <c r="L4" s="16"/>
      <c r="M4" s="184" t="s">
        <v>169</v>
      </c>
      <c r="N4" s="16"/>
      <c r="O4" s="16"/>
      <c r="P4" s="16"/>
      <c r="Q4" s="16"/>
      <c r="R4" s="181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</row>
    <row r="5">
      <c r="A5" s="188">
        <f>COUNTIF(E27:IE27,"P")</f>
        <v>14</v>
      </c>
      <c r="B5" s="189"/>
      <c r="C5" s="190">
        <f>COUNTIF(E27:IE27,"F")</f>
        <v>0</v>
      </c>
      <c r="D5" s="189"/>
      <c r="E5" s="191">
        <f>SUM(M5,-A5,-C5)</f>
        <v>0</v>
      </c>
      <c r="F5" s="192"/>
      <c r="G5" s="192"/>
      <c r="H5" s="192"/>
      <c r="I5" s="192"/>
      <c r="J5" s="193">
        <f>COUNTIF(A26:IA26,"N")</f>
        <v>2</v>
      </c>
      <c r="K5" s="193">
        <f>COUNTIF(B26:IB26,"A")</f>
        <v>10</v>
      </c>
      <c r="L5" s="193">
        <f>COUNTIF(C26:IC26,"B")</f>
        <v>2</v>
      </c>
      <c r="M5" s="190">
        <f>COUNTA(A7:HS7)</f>
        <v>14</v>
      </c>
      <c r="N5" s="192"/>
      <c r="O5" s="192"/>
      <c r="P5" s="192"/>
      <c r="Q5" s="192"/>
      <c r="R5" s="194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</row>
    <row r="6">
      <c r="A6" s="198"/>
      <c r="B6" s="198"/>
      <c r="C6" s="198"/>
      <c r="D6" s="198"/>
      <c r="E6" s="198"/>
      <c r="F6" s="198"/>
      <c r="G6" s="199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9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</row>
    <row r="7" ht="48.0" customHeight="1">
      <c r="A7" s="200"/>
      <c r="B7" s="201"/>
      <c r="C7" s="201"/>
      <c r="D7" s="201"/>
      <c r="E7" s="202" t="s">
        <v>203</v>
      </c>
      <c r="F7" s="202" t="s">
        <v>204</v>
      </c>
      <c r="G7" s="202" t="s">
        <v>205</v>
      </c>
      <c r="H7" s="202" t="s">
        <v>206</v>
      </c>
      <c r="I7" s="202" t="s">
        <v>207</v>
      </c>
      <c r="J7" s="202" t="s">
        <v>208</v>
      </c>
      <c r="K7" s="202" t="s">
        <v>209</v>
      </c>
      <c r="L7" s="202" t="s">
        <v>210</v>
      </c>
      <c r="M7" s="202" t="s">
        <v>211</v>
      </c>
      <c r="N7" s="202" t="s">
        <v>212</v>
      </c>
      <c r="O7" s="202" t="s">
        <v>213</v>
      </c>
      <c r="P7" s="202" t="s">
        <v>214</v>
      </c>
      <c r="Q7" s="202" t="s">
        <v>215</v>
      </c>
      <c r="R7" s="202" t="s">
        <v>216</v>
      </c>
      <c r="S7" s="198"/>
      <c r="T7" s="198"/>
      <c r="U7" s="198"/>
      <c r="V7" s="198"/>
      <c r="W7" s="198"/>
      <c r="X7" s="198"/>
      <c r="Y7" s="198"/>
      <c r="Z7" s="199"/>
      <c r="AA7" s="199"/>
      <c r="AB7" s="199"/>
      <c r="AC7" s="198"/>
      <c r="AD7" s="198"/>
      <c r="AE7" s="198"/>
      <c r="AF7" s="203"/>
      <c r="AG7" s="203"/>
      <c r="AH7" s="203"/>
      <c r="AI7" s="203"/>
      <c r="AJ7" s="203"/>
      <c r="AK7" s="203"/>
      <c r="AL7" s="203"/>
    </row>
    <row r="8">
      <c r="A8" s="204" t="s">
        <v>219</v>
      </c>
      <c r="B8" s="205" t="s">
        <v>220</v>
      </c>
      <c r="C8" s="262"/>
      <c r="D8" s="263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198"/>
      <c r="T8" s="198"/>
      <c r="U8" s="198"/>
      <c r="V8" s="198"/>
      <c r="W8" s="198"/>
      <c r="X8" s="198"/>
      <c r="Y8" s="198"/>
      <c r="Z8" s="199"/>
      <c r="AA8" s="199"/>
      <c r="AB8" s="199"/>
      <c r="AC8" s="199"/>
      <c r="AD8" s="199"/>
      <c r="AE8" s="199"/>
      <c r="AF8" s="265"/>
      <c r="AG8" s="265"/>
      <c r="AH8" s="265"/>
      <c r="AI8" s="265"/>
      <c r="AJ8" s="265"/>
      <c r="AK8" s="265"/>
      <c r="AL8" s="265"/>
    </row>
    <row r="9">
      <c r="A9" s="266"/>
      <c r="B9" s="267"/>
      <c r="C9" s="268"/>
      <c r="D9" s="213" t="s">
        <v>221</v>
      </c>
      <c r="E9" s="214" t="s">
        <v>222</v>
      </c>
      <c r="F9" s="214" t="s">
        <v>222</v>
      </c>
      <c r="G9" s="214" t="s">
        <v>222</v>
      </c>
      <c r="H9" s="214" t="s">
        <v>222</v>
      </c>
      <c r="I9" s="214" t="s">
        <v>222</v>
      </c>
      <c r="J9" s="214"/>
      <c r="K9" s="214"/>
      <c r="L9" s="214"/>
      <c r="M9" s="214"/>
      <c r="N9" s="214"/>
      <c r="O9" s="214"/>
      <c r="P9" s="214"/>
      <c r="Q9" s="214"/>
      <c r="R9" s="214"/>
      <c r="S9" s="198"/>
      <c r="T9" s="198"/>
      <c r="U9" s="198"/>
      <c r="V9" s="198"/>
      <c r="W9" s="198"/>
      <c r="X9" s="198"/>
      <c r="Y9" s="198"/>
      <c r="Z9" s="199"/>
      <c r="AA9" s="199"/>
      <c r="AB9" s="199"/>
      <c r="AC9" s="199"/>
      <c r="AD9" s="199"/>
      <c r="AE9" s="199"/>
      <c r="AF9" s="265"/>
      <c r="AG9" s="265"/>
      <c r="AH9" s="265"/>
      <c r="AI9" s="265"/>
      <c r="AJ9" s="265"/>
      <c r="AK9" s="265"/>
      <c r="AL9" s="265"/>
    </row>
    <row r="10">
      <c r="A10" s="266"/>
      <c r="B10" s="215" t="s">
        <v>314</v>
      </c>
      <c r="C10" s="268"/>
      <c r="D10" s="303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198"/>
      <c r="T10" s="198"/>
      <c r="U10" s="198"/>
      <c r="V10" s="198"/>
      <c r="W10" s="198"/>
      <c r="X10" s="198"/>
      <c r="Y10" s="198"/>
      <c r="Z10" s="199"/>
      <c r="AA10" s="199"/>
      <c r="AB10" s="199"/>
      <c r="AC10" s="199"/>
      <c r="AD10" s="199"/>
      <c r="AE10" s="199"/>
      <c r="AF10" s="265"/>
      <c r="AG10" s="265"/>
      <c r="AH10" s="265"/>
      <c r="AI10" s="265"/>
      <c r="AJ10" s="265"/>
      <c r="AK10" s="265"/>
      <c r="AL10" s="265"/>
    </row>
    <row r="11">
      <c r="A11" s="266"/>
      <c r="B11" s="304"/>
      <c r="C11" s="305" t="s">
        <v>310</v>
      </c>
      <c r="D11" s="218">
        <v>1.0</v>
      </c>
      <c r="E11" s="209" t="s">
        <v>222</v>
      </c>
      <c r="F11" s="209"/>
      <c r="G11" s="209"/>
      <c r="H11" s="209"/>
      <c r="I11" s="209" t="s">
        <v>222</v>
      </c>
      <c r="J11" s="209"/>
      <c r="K11" s="209"/>
      <c r="L11" s="209"/>
      <c r="M11" s="209"/>
      <c r="N11" s="209"/>
      <c r="O11" s="209"/>
      <c r="P11" s="209"/>
      <c r="Q11" s="214"/>
      <c r="R11" s="214"/>
      <c r="S11" s="198"/>
      <c r="T11" s="198"/>
      <c r="U11" s="198"/>
      <c r="V11" s="198"/>
      <c r="W11" s="198"/>
      <c r="X11" s="198"/>
      <c r="Y11" s="198"/>
      <c r="Z11" s="199"/>
      <c r="AA11" s="199"/>
      <c r="AB11" s="199"/>
      <c r="AC11" s="199"/>
      <c r="AD11" s="199"/>
      <c r="AE11" s="199"/>
      <c r="AF11" s="265"/>
      <c r="AG11" s="265"/>
      <c r="AH11" s="265"/>
      <c r="AI11" s="265"/>
      <c r="AJ11" s="265"/>
      <c r="AK11" s="265"/>
      <c r="AL11" s="265"/>
    </row>
    <row r="12">
      <c r="A12" s="266"/>
      <c r="B12" s="221"/>
      <c r="C12" s="217" t="s">
        <v>332</v>
      </c>
      <c r="D12" s="218">
        <v>4.0</v>
      </c>
      <c r="E12" s="209"/>
      <c r="F12" s="209" t="s">
        <v>222</v>
      </c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198"/>
      <c r="T12" s="198"/>
      <c r="U12" s="198"/>
      <c r="V12" s="198"/>
      <c r="W12" s="198"/>
      <c r="X12" s="198"/>
      <c r="Y12" s="198"/>
      <c r="Z12" s="199"/>
      <c r="AA12" s="199"/>
      <c r="AB12" s="199"/>
      <c r="AC12" s="199"/>
      <c r="AD12" s="199"/>
      <c r="AE12" s="199"/>
      <c r="AF12" s="265"/>
      <c r="AG12" s="265"/>
      <c r="AH12" s="265"/>
      <c r="AI12" s="265"/>
      <c r="AJ12" s="265"/>
      <c r="AK12" s="265"/>
      <c r="AL12" s="265"/>
    </row>
    <row r="13">
      <c r="A13" s="266"/>
      <c r="B13" s="221"/>
      <c r="C13" s="305" t="s">
        <v>333</v>
      </c>
      <c r="D13" s="218">
        <v>999.0</v>
      </c>
      <c r="E13" s="209"/>
      <c r="F13" s="209"/>
      <c r="G13" s="209" t="s">
        <v>222</v>
      </c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198"/>
      <c r="T13" s="198"/>
      <c r="U13" s="198"/>
      <c r="V13" s="198"/>
      <c r="W13" s="198"/>
      <c r="X13" s="198"/>
      <c r="Y13" s="198"/>
      <c r="Z13" s="199"/>
      <c r="AA13" s="199"/>
      <c r="AB13" s="199"/>
      <c r="AC13" s="199"/>
      <c r="AD13" s="199"/>
      <c r="AE13" s="199"/>
      <c r="AF13" s="265"/>
      <c r="AG13" s="265"/>
      <c r="AH13" s="265"/>
      <c r="AI13" s="265"/>
      <c r="AJ13" s="265"/>
      <c r="AK13" s="265"/>
      <c r="AL13" s="265"/>
    </row>
    <row r="14">
      <c r="A14" s="266"/>
      <c r="B14" s="221"/>
      <c r="C14" s="305" t="s">
        <v>334</v>
      </c>
      <c r="D14" s="218" t="s">
        <v>262</v>
      </c>
      <c r="E14" s="209"/>
      <c r="F14" s="209"/>
      <c r="G14" s="209"/>
      <c r="H14" s="330" t="s">
        <v>222</v>
      </c>
      <c r="I14" s="330"/>
      <c r="J14" s="209"/>
      <c r="K14" s="209"/>
      <c r="L14" s="209"/>
      <c r="M14" s="209"/>
      <c r="N14" s="209"/>
      <c r="O14" s="209"/>
      <c r="P14" s="209"/>
      <c r="Q14" s="209"/>
      <c r="R14" s="209"/>
      <c r="S14" s="198"/>
      <c r="T14" s="198"/>
      <c r="U14" s="198"/>
      <c r="V14" s="198"/>
      <c r="W14" s="198"/>
      <c r="X14" s="198"/>
      <c r="Y14" s="198"/>
      <c r="Z14" s="199"/>
      <c r="AA14" s="199"/>
      <c r="AB14" s="199"/>
      <c r="AC14" s="199"/>
      <c r="AD14" s="199"/>
      <c r="AE14" s="199"/>
      <c r="AF14" s="265"/>
      <c r="AG14" s="265"/>
      <c r="AH14" s="265"/>
      <c r="AI14" s="265"/>
      <c r="AJ14" s="265"/>
      <c r="AK14" s="265"/>
      <c r="AL14" s="265"/>
    </row>
    <row r="15">
      <c r="A15" s="266"/>
      <c r="B15" s="221"/>
      <c r="C15" s="217" t="s">
        <v>335</v>
      </c>
      <c r="D15" s="218" t="s">
        <v>297</v>
      </c>
      <c r="E15" s="209"/>
      <c r="F15" s="209"/>
      <c r="G15" s="209"/>
      <c r="H15" s="209"/>
      <c r="I15" s="330" t="s">
        <v>222</v>
      </c>
      <c r="J15" s="209"/>
      <c r="K15" s="209"/>
      <c r="L15" s="209"/>
      <c r="M15" s="209"/>
      <c r="N15" s="209"/>
      <c r="O15" s="209"/>
      <c r="P15" s="209"/>
      <c r="Q15" s="209"/>
      <c r="R15" s="209"/>
      <c r="S15" s="198"/>
      <c r="T15" s="198"/>
      <c r="U15" s="198"/>
      <c r="V15" s="198"/>
      <c r="W15" s="198"/>
      <c r="X15" s="198"/>
      <c r="Y15" s="198"/>
      <c r="Z15" s="199"/>
      <c r="AA15" s="199"/>
      <c r="AB15" s="199"/>
      <c r="AC15" s="199"/>
      <c r="AD15" s="199"/>
      <c r="AE15" s="199"/>
      <c r="AF15" s="265"/>
      <c r="AG15" s="265"/>
      <c r="AH15" s="265"/>
      <c r="AI15" s="265"/>
      <c r="AJ15" s="265"/>
      <c r="AK15" s="265"/>
      <c r="AL15" s="265"/>
    </row>
    <row r="16" ht="21.75" customHeight="1">
      <c r="A16" s="226" t="s">
        <v>238</v>
      </c>
      <c r="B16" s="227" t="s">
        <v>239</v>
      </c>
      <c r="C16" s="228"/>
      <c r="D16" s="229"/>
      <c r="E16" s="223"/>
      <c r="F16" s="209"/>
      <c r="G16" s="209"/>
      <c r="H16" s="209"/>
      <c r="I16" s="209"/>
      <c r="J16" s="209"/>
      <c r="K16" s="209"/>
      <c r="L16" s="223"/>
      <c r="M16" s="209"/>
      <c r="N16" s="209"/>
      <c r="O16" s="209"/>
      <c r="P16" s="209"/>
      <c r="Q16" s="209"/>
      <c r="R16" s="209"/>
      <c r="S16" s="198"/>
      <c r="T16" s="198"/>
      <c r="U16" s="198"/>
      <c r="V16" s="198"/>
      <c r="W16" s="198"/>
      <c r="X16" s="198"/>
      <c r="Y16" s="198"/>
      <c r="Z16" s="199"/>
      <c r="AA16" s="199"/>
      <c r="AB16" s="199"/>
      <c r="AC16" s="199"/>
      <c r="AD16" s="199"/>
      <c r="AE16" s="199"/>
      <c r="AF16" s="265"/>
      <c r="AG16" s="265"/>
      <c r="AH16" s="265"/>
      <c r="AI16" s="265"/>
      <c r="AJ16" s="265"/>
      <c r="AK16" s="265"/>
      <c r="AL16" s="265"/>
    </row>
    <row r="17" ht="19.5" customHeight="1">
      <c r="A17" s="307"/>
      <c r="B17" s="231"/>
      <c r="C17" s="228"/>
      <c r="D17" s="232" t="b">
        <v>1</v>
      </c>
      <c r="E17" s="224" t="s">
        <v>222</v>
      </c>
      <c r="F17" s="223"/>
      <c r="G17" s="223"/>
      <c r="H17" s="223"/>
      <c r="I17" s="223"/>
      <c r="J17" s="223"/>
      <c r="K17" s="223"/>
      <c r="L17" s="223"/>
      <c r="M17" s="223"/>
      <c r="N17" s="223"/>
      <c r="O17" s="223"/>
      <c r="P17" s="209"/>
      <c r="Q17" s="209"/>
      <c r="R17" s="209"/>
      <c r="S17" s="198"/>
      <c r="T17" s="198"/>
      <c r="U17" s="198"/>
      <c r="V17" s="198"/>
      <c r="W17" s="198"/>
      <c r="X17" s="198"/>
      <c r="Y17" s="198"/>
      <c r="Z17" s="199"/>
      <c r="AA17" s="199"/>
      <c r="AB17" s="199"/>
      <c r="AC17" s="199"/>
      <c r="AD17" s="199"/>
      <c r="AE17" s="199"/>
      <c r="AF17" s="265"/>
      <c r="AG17" s="265"/>
      <c r="AH17" s="265"/>
      <c r="AI17" s="265"/>
      <c r="AJ17" s="265"/>
      <c r="AK17" s="265"/>
      <c r="AL17" s="265"/>
    </row>
    <row r="18" ht="19.5" customHeight="1">
      <c r="A18" s="307"/>
      <c r="B18" s="234"/>
      <c r="C18" s="235"/>
      <c r="D18" s="232" t="b">
        <v>0</v>
      </c>
      <c r="E18" s="224"/>
      <c r="F18" s="209" t="s">
        <v>222</v>
      </c>
      <c r="G18" s="209" t="s">
        <v>222</v>
      </c>
      <c r="H18" s="209" t="s">
        <v>222</v>
      </c>
      <c r="I18" s="209" t="s">
        <v>222</v>
      </c>
      <c r="J18" s="209"/>
      <c r="K18" s="209"/>
      <c r="L18" s="209"/>
      <c r="M18" s="209"/>
      <c r="N18" s="209"/>
      <c r="O18" s="209"/>
      <c r="P18" s="209"/>
      <c r="Q18" s="209"/>
      <c r="R18" s="209"/>
      <c r="S18" s="198"/>
      <c r="T18" s="198"/>
      <c r="U18" s="198"/>
      <c r="V18" s="198"/>
      <c r="W18" s="198"/>
      <c r="X18" s="198"/>
      <c r="Y18" s="198"/>
      <c r="Z18" s="199"/>
      <c r="AA18" s="199"/>
      <c r="AB18" s="199"/>
      <c r="AC18" s="199"/>
      <c r="AD18" s="199"/>
      <c r="AE18" s="199"/>
      <c r="AF18" s="265"/>
      <c r="AG18" s="265"/>
      <c r="AH18" s="265"/>
      <c r="AI18" s="265"/>
      <c r="AJ18" s="265"/>
      <c r="AK18" s="265"/>
      <c r="AL18" s="265"/>
    </row>
    <row r="19" ht="21.75" customHeight="1">
      <c r="A19" s="307"/>
      <c r="B19" s="236" t="s">
        <v>240</v>
      </c>
      <c r="C19" s="277"/>
      <c r="D19" s="278"/>
      <c r="E19" s="224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09"/>
      <c r="Q19" s="209"/>
      <c r="R19" s="209"/>
      <c r="S19" s="198"/>
      <c r="T19" s="198"/>
      <c r="U19" s="198"/>
      <c r="V19" s="198"/>
      <c r="W19" s="198"/>
      <c r="X19" s="198"/>
      <c r="Y19" s="198"/>
      <c r="Z19" s="199"/>
      <c r="AA19" s="199"/>
      <c r="AB19" s="199"/>
      <c r="AC19" s="199"/>
      <c r="AD19" s="199"/>
      <c r="AE19" s="199"/>
      <c r="AF19" s="265"/>
      <c r="AG19" s="265"/>
      <c r="AH19" s="265"/>
      <c r="AI19" s="265"/>
      <c r="AJ19" s="265"/>
      <c r="AK19" s="265"/>
      <c r="AL19" s="265"/>
    </row>
    <row r="20" ht="33.0" customHeight="1">
      <c r="A20" s="307"/>
      <c r="B20" s="237"/>
      <c r="C20" s="280"/>
      <c r="D20" s="281"/>
      <c r="E20" s="224"/>
      <c r="F20" s="223"/>
      <c r="G20" s="223"/>
      <c r="H20" s="223"/>
      <c r="I20" s="223"/>
      <c r="J20" s="223"/>
      <c r="K20" s="223"/>
      <c r="L20" s="223"/>
      <c r="M20" s="223"/>
      <c r="N20" s="223"/>
      <c r="O20" s="223"/>
      <c r="P20" s="209"/>
      <c r="Q20" s="209"/>
      <c r="R20" s="209"/>
      <c r="S20" s="198"/>
      <c r="T20" s="198"/>
      <c r="U20" s="198"/>
      <c r="V20" s="198"/>
      <c r="W20" s="198"/>
      <c r="X20" s="198"/>
      <c r="Y20" s="198"/>
      <c r="Z20" s="199"/>
      <c r="AA20" s="199"/>
      <c r="AB20" s="199"/>
      <c r="AC20" s="199"/>
      <c r="AD20" s="199"/>
      <c r="AE20" s="199"/>
      <c r="AF20" s="265"/>
      <c r="AG20" s="265"/>
      <c r="AH20" s="265"/>
      <c r="AI20" s="265"/>
      <c r="AJ20" s="265"/>
      <c r="AK20" s="265"/>
      <c r="AL20" s="265"/>
    </row>
    <row r="21" ht="36.75" customHeight="1">
      <c r="A21" s="307"/>
      <c r="B21" s="238"/>
      <c r="C21" s="16"/>
      <c r="D21" s="17"/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09"/>
      <c r="R21" s="209"/>
      <c r="S21" s="198"/>
      <c r="T21" s="198"/>
      <c r="U21" s="198"/>
      <c r="V21" s="198"/>
      <c r="W21" s="198"/>
      <c r="X21" s="198"/>
      <c r="Y21" s="198"/>
      <c r="Z21" s="199"/>
      <c r="AA21" s="199"/>
      <c r="AB21" s="199"/>
      <c r="AC21" s="199"/>
      <c r="AD21" s="199"/>
      <c r="AE21" s="199"/>
      <c r="AF21" s="265"/>
      <c r="AG21" s="265"/>
      <c r="AH21" s="265"/>
      <c r="AI21" s="265"/>
      <c r="AJ21" s="265"/>
      <c r="AK21" s="265"/>
      <c r="AL21" s="265"/>
    </row>
    <row r="22" ht="30.0" customHeight="1">
      <c r="A22" s="307"/>
      <c r="B22" s="227" t="s">
        <v>241</v>
      </c>
      <c r="C22" s="228"/>
      <c r="D22" s="229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09"/>
      <c r="R22" s="209"/>
      <c r="S22" s="198"/>
      <c r="T22" s="198"/>
      <c r="U22" s="198"/>
      <c r="V22" s="198"/>
      <c r="W22" s="198"/>
      <c r="X22" s="198"/>
      <c r="Y22" s="198"/>
      <c r="Z22" s="199"/>
      <c r="AA22" s="199"/>
      <c r="AB22" s="199"/>
      <c r="AC22" s="199"/>
      <c r="AD22" s="199"/>
      <c r="AE22" s="199"/>
      <c r="AF22" s="265"/>
      <c r="AG22" s="265"/>
      <c r="AH22" s="265"/>
      <c r="AI22" s="265"/>
      <c r="AJ22" s="265"/>
      <c r="AK22" s="265"/>
      <c r="AL22" s="265"/>
    </row>
    <row r="23" ht="30.75" customHeight="1">
      <c r="A23" s="310"/>
      <c r="B23" s="288"/>
      <c r="C23" s="309"/>
      <c r="D23" s="290" t="s">
        <v>336</v>
      </c>
      <c r="E23" s="331" t="s">
        <v>222</v>
      </c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09"/>
      <c r="R23" s="209"/>
      <c r="S23" s="198"/>
      <c r="T23" s="198"/>
      <c r="U23" s="198"/>
      <c r="V23" s="198"/>
      <c r="W23" s="198"/>
      <c r="X23" s="198"/>
      <c r="Y23" s="198"/>
      <c r="Z23" s="199"/>
      <c r="AA23" s="199"/>
      <c r="AB23" s="265"/>
      <c r="AC23" s="265"/>
      <c r="AD23" s="265"/>
      <c r="AE23" s="265"/>
      <c r="AF23" s="265"/>
      <c r="AG23" s="265"/>
      <c r="AH23" s="265"/>
      <c r="AI23" s="265"/>
      <c r="AJ23" s="265"/>
      <c r="AK23" s="265"/>
      <c r="AL23" s="265"/>
    </row>
    <row r="24" ht="33.0" customHeight="1">
      <c r="A24" s="310"/>
      <c r="B24" s="283"/>
      <c r="C24" s="309"/>
      <c r="D24" s="323" t="s">
        <v>337</v>
      </c>
      <c r="E24" s="224"/>
      <c r="F24" s="332" t="s">
        <v>222</v>
      </c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09"/>
      <c r="R24" s="209"/>
      <c r="S24" s="198"/>
      <c r="T24" s="198"/>
      <c r="U24" s="198"/>
      <c r="V24" s="198"/>
      <c r="W24" s="198"/>
      <c r="X24" s="198"/>
      <c r="Y24" s="198"/>
      <c r="Z24" s="199"/>
      <c r="AA24" s="199"/>
      <c r="AB24" s="265"/>
      <c r="AC24" s="265"/>
      <c r="AD24" s="265"/>
      <c r="AE24" s="265"/>
      <c r="AF24" s="265"/>
      <c r="AG24" s="265"/>
      <c r="AH24" s="265"/>
      <c r="AI24" s="265"/>
      <c r="AJ24" s="265"/>
      <c r="AK24" s="265"/>
      <c r="AL24" s="265"/>
    </row>
    <row r="25" ht="27.75" customHeight="1">
      <c r="A25" s="297"/>
      <c r="B25" s="180"/>
      <c r="C25" s="298"/>
      <c r="D25" s="326" t="s">
        <v>300</v>
      </c>
      <c r="E25" s="224"/>
      <c r="F25" s="224"/>
      <c r="G25" s="332" t="s">
        <v>222</v>
      </c>
      <c r="H25" s="332" t="s">
        <v>222</v>
      </c>
      <c r="I25" s="332" t="s">
        <v>222</v>
      </c>
      <c r="J25" s="224"/>
      <c r="K25" s="224"/>
      <c r="L25" s="224"/>
      <c r="M25" s="224"/>
      <c r="N25" s="224"/>
      <c r="O25" s="224"/>
      <c r="P25" s="224"/>
      <c r="Q25" s="209"/>
      <c r="R25" s="209"/>
      <c r="S25" s="198"/>
      <c r="T25" s="198"/>
      <c r="U25" s="198"/>
      <c r="V25" s="198"/>
      <c r="W25" s="198"/>
      <c r="X25" s="198"/>
      <c r="Y25" s="198"/>
      <c r="Z25" s="203"/>
      <c r="AA25" s="203"/>
      <c r="AB25" s="203"/>
      <c r="AC25" s="203"/>
      <c r="AD25" s="265"/>
      <c r="AE25" s="265"/>
      <c r="AF25" s="265"/>
      <c r="AG25" s="265"/>
      <c r="AH25" s="265"/>
      <c r="AI25" s="265"/>
      <c r="AJ25" s="265"/>
      <c r="AK25" s="265"/>
      <c r="AL25" s="265"/>
    </row>
    <row r="26" ht="15.75" customHeight="1">
      <c r="A26" s="226" t="s">
        <v>249</v>
      </c>
      <c r="B26" s="245" t="s">
        <v>250</v>
      </c>
      <c r="C26" s="246"/>
      <c r="D26" s="247"/>
      <c r="E26" s="248" t="s">
        <v>167</v>
      </c>
      <c r="F26" s="248" t="s">
        <v>62</v>
      </c>
      <c r="G26" s="248" t="s">
        <v>62</v>
      </c>
      <c r="H26" s="248" t="s">
        <v>62</v>
      </c>
      <c r="I26" s="248" t="s">
        <v>62</v>
      </c>
      <c r="J26" s="248" t="s">
        <v>62</v>
      </c>
      <c r="K26" s="248" t="s">
        <v>168</v>
      </c>
      <c r="L26" s="248" t="s">
        <v>167</v>
      </c>
      <c r="M26" s="248" t="s">
        <v>62</v>
      </c>
      <c r="N26" s="248" t="s">
        <v>62</v>
      </c>
      <c r="O26" s="248" t="s">
        <v>62</v>
      </c>
      <c r="P26" s="248" t="s">
        <v>168</v>
      </c>
      <c r="Q26" s="248" t="s">
        <v>62</v>
      </c>
      <c r="R26" s="248" t="s">
        <v>62</v>
      </c>
      <c r="S26" s="198"/>
      <c r="T26" s="198"/>
      <c r="U26" s="198"/>
      <c r="V26" s="198"/>
      <c r="W26" s="198"/>
      <c r="X26" s="198"/>
      <c r="Y26" s="198"/>
      <c r="Z26" s="199"/>
      <c r="AA26" s="199"/>
      <c r="AB26" s="199"/>
      <c r="AC26" s="198"/>
      <c r="AD26" s="198"/>
      <c r="AE26" s="198"/>
      <c r="AF26" s="203"/>
      <c r="AG26" s="203"/>
      <c r="AH26" s="203"/>
      <c r="AI26" s="203"/>
      <c r="AJ26" s="203"/>
      <c r="AK26" s="203"/>
      <c r="AL26" s="203"/>
    </row>
    <row r="27" ht="15.75" customHeight="1">
      <c r="A27" s="241"/>
      <c r="B27" s="249" t="s">
        <v>251</v>
      </c>
      <c r="C27" s="16"/>
      <c r="D27" s="17"/>
      <c r="E27" s="250" t="s">
        <v>252</v>
      </c>
      <c r="F27" s="250" t="s">
        <v>252</v>
      </c>
      <c r="G27" s="250" t="s">
        <v>252</v>
      </c>
      <c r="H27" s="250" t="s">
        <v>252</v>
      </c>
      <c r="I27" s="250" t="s">
        <v>252</v>
      </c>
      <c r="J27" s="250" t="s">
        <v>252</v>
      </c>
      <c r="K27" s="250" t="s">
        <v>252</v>
      </c>
      <c r="L27" s="250" t="s">
        <v>252</v>
      </c>
      <c r="M27" s="250" t="s">
        <v>252</v>
      </c>
      <c r="N27" s="250" t="s">
        <v>252</v>
      </c>
      <c r="O27" s="250" t="s">
        <v>252</v>
      </c>
      <c r="P27" s="250" t="s">
        <v>252</v>
      </c>
      <c r="Q27" s="250" t="s">
        <v>252</v>
      </c>
      <c r="R27" s="250" t="s">
        <v>252</v>
      </c>
      <c r="S27" s="198"/>
      <c r="T27" s="198"/>
      <c r="U27" s="198"/>
      <c r="V27" s="198"/>
      <c r="W27" s="198"/>
      <c r="X27" s="198"/>
      <c r="Y27" s="198"/>
      <c r="Z27" s="199"/>
      <c r="AA27" s="199"/>
      <c r="AB27" s="199"/>
      <c r="AC27" s="198"/>
      <c r="AD27" s="198"/>
      <c r="AE27" s="198"/>
      <c r="AF27" s="203"/>
      <c r="AG27" s="203"/>
      <c r="AH27" s="203"/>
      <c r="AI27" s="203"/>
      <c r="AJ27" s="203"/>
      <c r="AK27" s="203"/>
      <c r="AL27" s="203"/>
    </row>
    <row r="28" ht="15.75" customHeight="1">
      <c r="A28" s="241"/>
      <c r="B28" s="251" t="s">
        <v>253</v>
      </c>
      <c r="C28" s="16"/>
      <c r="D28" s="17"/>
      <c r="E28" s="252">
        <v>45948.0</v>
      </c>
      <c r="F28" s="252">
        <v>45948.0</v>
      </c>
      <c r="G28" s="252">
        <v>45948.0</v>
      </c>
      <c r="H28" s="252">
        <v>45948.0</v>
      </c>
      <c r="I28" s="252">
        <v>45948.0</v>
      </c>
      <c r="J28" s="252">
        <v>45948.0</v>
      </c>
      <c r="K28" s="252">
        <v>45948.0</v>
      </c>
      <c r="L28" s="252">
        <v>45948.0</v>
      </c>
      <c r="M28" s="252">
        <v>45948.0</v>
      </c>
      <c r="N28" s="252">
        <v>45948.0</v>
      </c>
      <c r="O28" s="252">
        <v>45948.0</v>
      </c>
      <c r="P28" s="252">
        <v>45948.0</v>
      </c>
      <c r="Q28" s="252">
        <v>45948.0</v>
      </c>
      <c r="R28" s="252">
        <v>45949.0</v>
      </c>
      <c r="S28" s="198"/>
      <c r="T28" s="198"/>
      <c r="U28" s="198"/>
      <c r="V28" s="198"/>
      <c r="W28" s="198"/>
      <c r="X28" s="198"/>
      <c r="Y28" s="198"/>
      <c r="Z28" s="199"/>
      <c r="AA28" s="199"/>
      <c r="AB28" s="199"/>
      <c r="AC28" s="198"/>
      <c r="AD28" s="198"/>
      <c r="AE28" s="198"/>
      <c r="AF28" s="203"/>
      <c r="AG28" s="203"/>
      <c r="AH28" s="203"/>
      <c r="AI28" s="203"/>
      <c r="AJ28" s="203"/>
      <c r="AK28" s="203"/>
      <c r="AL28" s="203"/>
    </row>
    <row r="29" ht="74.25" customHeight="1">
      <c r="A29" s="253"/>
      <c r="B29" s="254" t="s">
        <v>254</v>
      </c>
      <c r="C29" s="255"/>
      <c r="D29" s="256"/>
      <c r="E29" s="257"/>
      <c r="F29" s="258"/>
      <c r="G29" s="259"/>
      <c r="H29" s="257"/>
      <c r="I29" s="257"/>
      <c r="J29" s="257"/>
      <c r="K29" s="257"/>
      <c r="L29" s="257"/>
      <c r="M29" s="257"/>
      <c r="N29" s="257"/>
      <c r="O29" s="257"/>
      <c r="P29" s="257"/>
      <c r="Q29" s="257"/>
      <c r="R29" s="257"/>
      <c r="S29" s="198"/>
      <c r="T29" s="198"/>
      <c r="U29" s="198"/>
      <c r="V29" s="198"/>
      <c r="W29" s="198"/>
      <c r="X29" s="198"/>
      <c r="Y29" s="198"/>
      <c r="Z29" s="199"/>
      <c r="AA29" s="199"/>
      <c r="AB29" s="199"/>
      <c r="AC29" s="198"/>
      <c r="AD29" s="198"/>
      <c r="AE29" s="198"/>
      <c r="AF29" s="203"/>
      <c r="AG29" s="203"/>
      <c r="AH29" s="203"/>
      <c r="AI29" s="203"/>
      <c r="AJ29" s="203"/>
      <c r="AK29" s="203"/>
      <c r="AL29" s="203"/>
    </row>
    <row r="30" ht="15.75" customHeight="1">
      <c r="A30" s="198"/>
      <c r="B30" s="198"/>
      <c r="C30" s="198"/>
      <c r="D30" s="198"/>
      <c r="E30" s="198"/>
      <c r="F30" s="198"/>
      <c r="G30" s="199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9"/>
      <c r="AA30" s="199"/>
      <c r="AB30" s="199"/>
      <c r="AC30" s="198"/>
      <c r="AD30" s="198"/>
      <c r="AE30" s="198"/>
      <c r="AF30" s="198"/>
      <c r="AG30" s="198"/>
      <c r="AH30" s="198"/>
      <c r="AI30" s="198"/>
      <c r="AJ30" s="198"/>
      <c r="AK30" s="198"/>
      <c r="AL30" s="198"/>
    </row>
    <row r="31" ht="15.75" customHeight="1">
      <c r="A31" s="198"/>
      <c r="B31" s="198"/>
      <c r="C31" s="198"/>
      <c r="D31" s="198"/>
      <c r="E31" s="198"/>
      <c r="F31" s="198"/>
      <c r="G31" s="199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9"/>
      <c r="AA31" s="199"/>
      <c r="AB31" s="199"/>
      <c r="AC31" s="198"/>
      <c r="AD31" s="198"/>
      <c r="AE31" s="198"/>
      <c r="AF31" s="198"/>
      <c r="AG31" s="198"/>
      <c r="AH31" s="198"/>
      <c r="AI31" s="198"/>
      <c r="AJ31" s="198"/>
      <c r="AK31" s="198"/>
      <c r="AL31" s="198"/>
    </row>
    <row r="32" ht="15.75" customHeight="1">
      <c r="A32" s="198"/>
      <c r="B32" s="198"/>
      <c r="C32" s="198"/>
      <c r="D32" s="198"/>
      <c r="E32" s="198"/>
      <c r="F32" s="198"/>
      <c r="G32" s="199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9"/>
      <c r="AA32" s="199"/>
      <c r="AB32" s="199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</row>
    <row r="33" ht="15.75" customHeight="1">
      <c r="A33" s="198"/>
      <c r="B33" s="198"/>
      <c r="C33" s="198"/>
      <c r="D33" s="198"/>
      <c r="E33" s="198"/>
      <c r="F33" s="198"/>
      <c r="G33" s="199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9"/>
      <c r="AA33" s="199"/>
      <c r="AB33" s="199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</row>
    <row r="34" ht="15.75" customHeight="1">
      <c r="A34" s="198"/>
      <c r="B34" s="198"/>
      <c r="C34" s="198"/>
      <c r="D34" s="198"/>
      <c r="E34" s="198"/>
      <c r="F34" s="198"/>
      <c r="G34" s="199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9"/>
      <c r="AA34" s="199"/>
      <c r="AB34" s="199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</row>
    <row r="35" ht="15.75" customHeight="1">
      <c r="A35" s="198"/>
      <c r="B35" s="198"/>
      <c r="C35" s="198"/>
      <c r="D35" s="198"/>
      <c r="E35" s="198"/>
      <c r="F35" s="198"/>
      <c r="G35" s="199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9"/>
      <c r="AA35" s="199"/>
      <c r="AB35" s="199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</row>
    <row r="36" ht="15.75" customHeight="1">
      <c r="A36" s="198"/>
      <c r="B36" s="198"/>
      <c r="C36" s="198"/>
      <c r="D36" s="198"/>
      <c r="E36" s="198"/>
      <c r="F36" s="198"/>
      <c r="G36" s="199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9"/>
      <c r="AA36" s="199"/>
      <c r="AB36" s="199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</row>
    <row r="37" ht="15.75" customHeight="1">
      <c r="A37" s="198"/>
      <c r="B37" s="198"/>
      <c r="C37" s="198"/>
      <c r="D37" s="198"/>
      <c r="E37" s="198"/>
      <c r="F37" s="198"/>
      <c r="G37" s="199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9"/>
      <c r="AA37" s="199"/>
      <c r="AB37" s="199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</row>
    <row r="38" ht="15.75" customHeight="1">
      <c r="A38" s="198"/>
      <c r="B38" s="198"/>
      <c r="C38" s="198"/>
      <c r="D38" s="198"/>
      <c r="E38" s="198"/>
      <c r="F38" s="198"/>
      <c r="G38" s="199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9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</row>
    <row r="39" ht="15.75" customHeight="1">
      <c r="A39" s="198"/>
      <c r="B39" s="198"/>
      <c r="C39" s="198"/>
      <c r="D39" s="198"/>
      <c r="E39" s="198"/>
      <c r="F39" s="198"/>
      <c r="G39" s="199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9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</row>
    <row r="40" ht="15.75" customHeight="1">
      <c r="A40" s="198"/>
      <c r="B40" s="198"/>
      <c r="C40" s="198"/>
      <c r="D40" s="198"/>
      <c r="E40" s="198"/>
      <c r="F40" s="198"/>
      <c r="G40" s="199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9"/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</row>
    <row r="41" ht="15.75" customHeight="1">
      <c r="A41" s="198"/>
      <c r="B41" s="198"/>
      <c r="C41" s="198"/>
      <c r="D41" s="198"/>
      <c r="E41" s="198"/>
      <c r="F41" s="198"/>
      <c r="G41" s="199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9"/>
      <c r="AA41" s="198"/>
      <c r="AB41" s="198"/>
      <c r="AC41" s="198"/>
      <c r="AD41" s="198"/>
      <c r="AE41" s="198"/>
      <c r="AF41" s="198"/>
      <c r="AG41" s="198"/>
      <c r="AH41" s="198"/>
      <c r="AI41" s="198"/>
      <c r="AJ41" s="198"/>
      <c r="AK41" s="198"/>
      <c r="AL41" s="198"/>
    </row>
    <row r="42" ht="15.75" customHeight="1">
      <c r="A42" s="198"/>
      <c r="B42" s="198"/>
      <c r="C42" s="198"/>
      <c r="D42" s="198"/>
      <c r="E42" s="198"/>
      <c r="F42" s="198"/>
      <c r="G42" s="199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9"/>
      <c r="AA42" s="198"/>
      <c r="AB42" s="198"/>
      <c r="AC42" s="198"/>
      <c r="AD42" s="198"/>
      <c r="AE42" s="198"/>
      <c r="AF42" s="198"/>
      <c r="AG42" s="198"/>
      <c r="AH42" s="198"/>
      <c r="AI42" s="198"/>
      <c r="AJ42" s="198"/>
      <c r="AK42" s="198"/>
      <c r="AL42" s="198"/>
    </row>
    <row r="43" ht="15.75" customHeight="1">
      <c r="A43" s="198"/>
      <c r="B43" s="198"/>
      <c r="C43" s="198"/>
      <c r="D43" s="198"/>
      <c r="E43" s="198"/>
      <c r="F43" s="198"/>
      <c r="G43" s="199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9"/>
      <c r="AA43" s="198"/>
      <c r="AB43" s="198"/>
      <c r="AC43" s="198"/>
      <c r="AD43" s="198"/>
      <c r="AE43" s="198"/>
      <c r="AF43" s="198"/>
      <c r="AG43" s="198"/>
      <c r="AH43" s="198"/>
      <c r="AI43" s="198"/>
      <c r="AJ43" s="198"/>
      <c r="AK43" s="198"/>
      <c r="AL43" s="198"/>
    </row>
    <row r="44" ht="15.75" customHeight="1">
      <c r="A44" s="198"/>
      <c r="B44" s="198"/>
      <c r="C44" s="198"/>
      <c r="D44" s="198"/>
      <c r="E44" s="198"/>
      <c r="F44" s="198"/>
      <c r="G44" s="199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9"/>
      <c r="AA44" s="198"/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</row>
    <row r="45" ht="15.75" customHeight="1">
      <c r="A45" s="198"/>
      <c r="B45" s="198"/>
      <c r="C45" s="198"/>
      <c r="D45" s="198"/>
      <c r="E45" s="198"/>
      <c r="F45" s="198"/>
      <c r="G45" s="199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9"/>
      <c r="AA45" s="198"/>
      <c r="AB45" s="198"/>
      <c r="AC45" s="198"/>
      <c r="AD45" s="198"/>
      <c r="AE45" s="198"/>
      <c r="AF45" s="198"/>
      <c r="AG45" s="198"/>
      <c r="AH45" s="198"/>
      <c r="AI45" s="198"/>
      <c r="AJ45" s="198"/>
      <c r="AK45" s="198"/>
      <c r="AL45" s="198"/>
    </row>
    <row r="46" ht="15.75" customHeight="1">
      <c r="A46" s="198"/>
      <c r="B46" s="198"/>
      <c r="C46" s="198"/>
      <c r="D46" s="198"/>
      <c r="E46" s="198"/>
      <c r="F46" s="198"/>
      <c r="G46" s="199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9"/>
      <c r="AA46" s="198"/>
      <c r="AB46" s="198"/>
      <c r="AC46" s="198"/>
      <c r="AD46" s="198"/>
      <c r="AE46" s="198"/>
      <c r="AF46" s="198"/>
      <c r="AG46" s="198"/>
      <c r="AH46" s="198"/>
      <c r="AI46" s="198"/>
      <c r="AJ46" s="198"/>
      <c r="AK46" s="198"/>
      <c r="AL46" s="198"/>
    </row>
    <row r="47" ht="15.75" customHeight="1">
      <c r="A47" s="198"/>
      <c r="B47" s="198"/>
      <c r="C47" s="198"/>
      <c r="D47" s="198"/>
      <c r="E47" s="198"/>
      <c r="F47" s="198"/>
      <c r="G47" s="199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9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</row>
    <row r="48" ht="15.75" customHeight="1">
      <c r="A48" s="198"/>
      <c r="B48" s="198"/>
      <c r="C48" s="198"/>
      <c r="D48" s="198"/>
      <c r="E48" s="198"/>
      <c r="F48" s="198"/>
      <c r="G48" s="199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9"/>
      <c r="AA48" s="198"/>
      <c r="AB48" s="198"/>
      <c r="AC48" s="198"/>
      <c r="AD48" s="198"/>
      <c r="AE48" s="198"/>
      <c r="AF48" s="198"/>
      <c r="AG48" s="198"/>
      <c r="AH48" s="198"/>
      <c r="AI48" s="198"/>
      <c r="AJ48" s="198"/>
      <c r="AK48" s="198"/>
      <c r="AL48" s="198"/>
    </row>
    <row r="49" ht="15.75" customHeight="1">
      <c r="A49" s="198"/>
      <c r="B49" s="198"/>
      <c r="C49" s="198"/>
      <c r="D49" s="198"/>
      <c r="E49" s="198"/>
      <c r="F49" s="198"/>
      <c r="G49" s="199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9"/>
      <c r="AA49" s="198"/>
      <c r="AB49" s="198"/>
      <c r="AC49" s="198"/>
      <c r="AD49" s="198"/>
      <c r="AE49" s="198"/>
      <c r="AF49" s="198"/>
      <c r="AG49" s="198"/>
      <c r="AH49" s="198"/>
      <c r="AI49" s="198"/>
      <c r="AJ49" s="198"/>
      <c r="AK49" s="198"/>
      <c r="AL49" s="198"/>
    </row>
    <row r="50" ht="15.75" customHeight="1">
      <c r="A50" s="198"/>
      <c r="B50" s="198"/>
      <c r="C50" s="198"/>
      <c r="D50" s="198"/>
      <c r="E50" s="198"/>
      <c r="F50" s="198"/>
      <c r="G50" s="199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9"/>
      <c r="AA50" s="198"/>
      <c r="AB50" s="198"/>
      <c r="AC50" s="198"/>
      <c r="AD50" s="198"/>
      <c r="AE50" s="198"/>
      <c r="AF50" s="198"/>
      <c r="AG50" s="198"/>
      <c r="AH50" s="198"/>
      <c r="AI50" s="198"/>
      <c r="AJ50" s="198"/>
      <c r="AK50" s="198"/>
      <c r="AL50" s="198"/>
    </row>
    <row r="51" ht="15.75" customHeight="1">
      <c r="A51" s="198"/>
      <c r="B51" s="198"/>
      <c r="C51" s="198"/>
      <c r="D51" s="198"/>
      <c r="E51" s="198"/>
      <c r="F51" s="198"/>
      <c r="G51" s="199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9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</row>
    <row r="52" ht="15.75" customHeight="1">
      <c r="A52" s="198"/>
      <c r="B52" s="198"/>
      <c r="C52" s="198"/>
      <c r="D52" s="198"/>
      <c r="E52" s="198"/>
      <c r="F52" s="198"/>
      <c r="G52" s="199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9"/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</row>
    <row r="53" ht="15.75" customHeight="1">
      <c r="A53" s="198"/>
      <c r="B53" s="198"/>
      <c r="C53" s="198"/>
      <c r="D53" s="198"/>
      <c r="E53" s="198"/>
      <c r="F53" s="198"/>
      <c r="G53" s="199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9"/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</row>
    <row r="54" ht="15.75" customHeight="1">
      <c r="A54" s="198"/>
      <c r="B54" s="198"/>
      <c r="C54" s="198"/>
      <c r="D54" s="198"/>
      <c r="E54" s="198"/>
      <c r="F54" s="198"/>
      <c r="G54" s="199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9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</row>
    <row r="55" ht="15.75" customHeight="1">
      <c r="A55" s="198"/>
      <c r="B55" s="198"/>
      <c r="C55" s="198"/>
      <c r="D55" s="198"/>
      <c r="E55" s="198"/>
      <c r="F55" s="198"/>
      <c r="G55" s="199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9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</row>
    <row r="56" ht="15.75" customHeight="1">
      <c r="A56" s="198"/>
      <c r="B56" s="198"/>
      <c r="C56" s="198"/>
      <c r="D56" s="198"/>
      <c r="E56" s="198"/>
      <c r="F56" s="198"/>
      <c r="G56" s="199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9"/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</row>
    <row r="57" ht="15.75" customHeight="1">
      <c r="A57" s="198"/>
      <c r="B57" s="198"/>
      <c r="C57" s="198"/>
      <c r="D57" s="198"/>
      <c r="E57" s="198"/>
      <c r="F57" s="198"/>
      <c r="G57" s="199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9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</row>
    <row r="58" ht="15.75" customHeight="1">
      <c r="A58" s="198"/>
      <c r="B58" s="198"/>
      <c r="C58" s="198"/>
      <c r="D58" s="198"/>
      <c r="E58" s="198"/>
      <c r="F58" s="198"/>
      <c r="G58" s="199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9"/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</row>
    <row r="59" ht="15.75" customHeight="1">
      <c r="A59" s="198"/>
      <c r="B59" s="198"/>
      <c r="C59" s="198"/>
      <c r="D59" s="198"/>
      <c r="E59" s="198"/>
      <c r="F59" s="198"/>
      <c r="G59" s="199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9"/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</row>
    <row r="60" ht="15.75" customHeight="1">
      <c r="A60" s="198"/>
      <c r="B60" s="198"/>
      <c r="C60" s="198"/>
      <c r="D60" s="198"/>
      <c r="E60" s="198"/>
      <c r="F60" s="198"/>
      <c r="G60" s="199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9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</row>
    <row r="61" ht="15.75" customHeight="1">
      <c r="A61" s="198"/>
      <c r="B61" s="198"/>
      <c r="C61" s="198"/>
      <c r="D61" s="198"/>
      <c r="E61" s="198"/>
      <c r="F61" s="198"/>
      <c r="G61" s="199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9"/>
      <c r="AA61" s="198"/>
      <c r="AB61" s="198"/>
      <c r="AC61" s="198"/>
      <c r="AD61" s="198"/>
      <c r="AE61" s="198"/>
      <c r="AF61" s="198"/>
      <c r="AG61" s="198"/>
      <c r="AH61" s="198"/>
      <c r="AI61" s="198"/>
      <c r="AJ61" s="198"/>
      <c r="AK61" s="198"/>
      <c r="AL61" s="198"/>
    </row>
    <row r="62" ht="15.75" customHeight="1">
      <c r="A62" s="198"/>
      <c r="B62" s="198"/>
      <c r="C62" s="198"/>
      <c r="D62" s="198"/>
      <c r="E62" s="198"/>
      <c r="F62" s="198"/>
      <c r="G62" s="199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9"/>
      <c r="AA62" s="198"/>
      <c r="AB62" s="198"/>
      <c r="AC62" s="198"/>
      <c r="AD62" s="198"/>
      <c r="AE62" s="198"/>
      <c r="AF62" s="198"/>
      <c r="AG62" s="198"/>
      <c r="AH62" s="198"/>
      <c r="AI62" s="198"/>
      <c r="AJ62" s="198"/>
      <c r="AK62" s="198"/>
      <c r="AL62" s="198"/>
    </row>
    <row r="63" ht="15.75" customHeight="1">
      <c r="A63" s="198"/>
      <c r="B63" s="198"/>
      <c r="C63" s="198"/>
      <c r="D63" s="198"/>
      <c r="E63" s="198"/>
      <c r="F63" s="198"/>
      <c r="G63" s="199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9"/>
      <c r="AA63" s="198"/>
      <c r="AB63" s="198"/>
      <c r="AC63" s="198"/>
      <c r="AD63" s="198"/>
      <c r="AE63" s="198"/>
      <c r="AF63" s="198"/>
      <c r="AG63" s="198"/>
      <c r="AH63" s="198"/>
      <c r="AI63" s="198"/>
      <c r="AJ63" s="198"/>
      <c r="AK63" s="198"/>
      <c r="AL63" s="198"/>
    </row>
    <row r="64" ht="15.75" customHeight="1">
      <c r="A64" s="198"/>
      <c r="B64" s="198"/>
      <c r="C64" s="198"/>
      <c r="D64" s="198"/>
      <c r="E64" s="198"/>
      <c r="F64" s="198"/>
      <c r="G64" s="199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9"/>
      <c r="AA64" s="198"/>
      <c r="AB64" s="198"/>
      <c r="AC64" s="198"/>
      <c r="AD64" s="198"/>
      <c r="AE64" s="198"/>
      <c r="AF64" s="198"/>
      <c r="AG64" s="198"/>
      <c r="AH64" s="198"/>
      <c r="AI64" s="198"/>
      <c r="AJ64" s="198"/>
      <c r="AK64" s="198"/>
      <c r="AL64" s="198"/>
    </row>
    <row r="65" ht="15.75" customHeight="1">
      <c r="A65" s="198"/>
      <c r="B65" s="198"/>
      <c r="C65" s="198"/>
      <c r="D65" s="198"/>
      <c r="E65" s="198"/>
      <c r="F65" s="198"/>
      <c r="G65" s="199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9"/>
      <c r="AA65" s="198"/>
      <c r="AB65" s="198"/>
      <c r="AC65" s="198"/>
      <c r="AD65" s="198"/>
      <c r="AE65" s="198"/>
      <c r="AF65" s="198"/>
      <c r="AG65" s="198"/>
      <c r="AH65" s="198"/>
      <c r="AI65" s="198"/>
      <c r="AJ65" s="198"/>
      <c r="AK65" s="198"/>
      <c r="AL65" s="198"/>
    </row>
    <row r="66" ht="15.75" customHeight="1">
      <c r="A66" s="198"/>
      <c r="B66" s="198"/>
      <c r="C66" s="198"/>
      <c r="D66" s="198"/>
      <c r="E66" s="198"/>
      <c r="F66" s="198"/>
      <c r="G66" s="199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9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  <c r="AK66" s="198"/>
      <c r="AL66" s="198"/>
    </row>
    <row r="67" ht="15.75" customHeight="1">
      <c r="A67" s="198"/>
      <c r="B67" s="198"/>
      <c r="C67" s="198"/>
      <c r="D67" s="198"/>
      <c r="E67" s="198"/>
      <c r="F67" s="198"/>
      <c r="G67" s="199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9"/>
      <c r="AA67" s="198"/>
      <c r="AB67" s="198"/>
      <c r="AC67" s="198"/>
      <c r="AD67" s="198"/>
      <c r="AE67" s="198"/>
      <c r="AF67" s="198"/>
      <c r="AG67" s="198"/>
      <c r="AH67" s="198"/>
      <c r="AI67" s="198"/>
      <c r="AJ67" s="198"/>
      <c r="AK67" s="198"/>
      <c r="AL67" s="198"/>
    </row>
    <row r="68" ht="15.75" customHeight="1">
      <c r="A68" s="198"/>
      <c r="B68" s="198"/>
      <c r="C68" s="198"/>
      <c r="D68" s="198"/>
      <c r="E68" s="198"/>
      <c r="F68" s="198"/>
      <c r="G68" s="199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9"/>
      <c r="AA68" s="198"/>
      <c r="AB68" s="198"/>
      <c r="AC68" s="198"/>
      <c r="AD68" s="198"/>
      <c r="AE68" s="198"/>
      <c r="AF68" s="198"/>
      <c r="AG68" s="198"/>
      <c r="AH68" s="198"/>
      <c r="AI68" s="198"/>
      <c r="AJ68" s="198"/>
      <c r="AK68" s="198"/>
      <c r="AL68" s="198"/>
    </row>
    <row r="69" ht="15.75" customHeight="1">
      <c r="A69" s="198"/>
      <c r="B69" s="198"/>
      <c r="C69" s="198"/>
      <c r="D69" s="198"/>
      <c r="E69" s="198"/>
      <c r="F69" s="198"/>
      <c r="G69" s="199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9"/>
      <c r="AA69" s="198"/>
      <c r="AB69" s="198"/>
      <c r="AC69" s="198"/>
      <c r="AD69" s="198"/>
      <c r="AE69" s="198"/>
      <c r="AF69" s="198"/>
      <c r="AG69" s="198"/>
      <c r="AH69" s="198"/>
      <c r="AI69" s="198"/>
      <c r="AJ69" s="198"/>
      <c r="AK69" s="198"/>
      <c r="AL69" s="198"/>
    </row>
    <row r="70" ht="15.75" customHeight="1">
      <c r="A70" s="198"/>
      <c r="B70" s="198"/>
      <c r="C70" s="198"/>
      <c r="D70" s="198"/>
      <c r="E70" s="198"/>
      <c r="F70" s="198"/>
      <c r="G70" s="199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9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</row>
    <row r="71" ht="15.75" customHeight="1">
      <c r="A71" s="198"/>
      <c r="B71" s="198"/>
      <c r="C71" s="198"/>
      <c r="D71" s="198"/>
      <c r="E71" s="198"/>
      <c r="F71" s="198"/>
      <c r="G71" s="199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9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</row>
    <row r="72" ht="15.75" customHeight="1">
      <c r="A72" s="198"/>
      <c r="B72" s="198"/>
      <c r="C72" s="198"/>
      <c r="D72" s="198"/>
      <c r="E72" s="198"/>
      <c r="F72" s="198"/>
      <c r="G72" s="199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9"/>
      <c r="AA72" s="198"/>
      <c r="AB72" s="198"/>
      <c r="AC72" s="198"/>
      <c r="AD72" s="198"/>
      <c r="AE72" s="198"/>
      <c r="AF72" s="198"/>
      <c r="AG72" s="198"/>
      <c r="AH72" s="198"/>
      <c r="AI72" s="198"/>
      <c r="AJ72" s="198"/>
      <c r="AK72" s="198"/>
      <c r="AL72" s="198"/>
    </row>
    <row r="73" ht="15.75" customHeight="1">
      <c r="A73" s="198"/>
      <c r="B73" s="198"/>
      <c r="C73" s="198"/>
      <c r="D73" s="198"/>
      <c r="E73" s="198"/>
      <c r="F73" s="198"/>
      <c r="G73" s="199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9"/>
      <c r="AA73" s="198"/>
      <c r="AB73" s="198"/>
      <c r="AC73" s="198"/>
      <c r="AD73" s="198"/>
      <c r="AE73" s="198"/>
      <c r="AF73" s="198"/>
      <c r="AG73" s="198"/>
      <c r="AH73" s="198"/>
      <c r="AI73" s="198"/>
      <c r="AJ73" s="198"/>
      <c r="AK73" s="198"/>
      <c r="AL73" s="198"/>
    </row>
    <row r="74" ht="15.75" customHeight="1">
      <c r="A74" s="198"/>
      <c r="B74" s="198"/>
      <c r="C74" s="198"/>
      <c r="D74" s="198"/>
      <c r="E74" s="198"/>
      <c r="F74" s="198"/>
      <c r="G74" s="199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9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198"/>
      <c r="AL74" s="198"/>
    </row>
    <row r="75" ht="15.75" customHeight="1">
      <c r="A75" s="198"/>
      <c r="B75" s="198"/>
      <c r="C75" s="198"/>
      <c r="D75" s="198"/>
      <c r="E75" s="198"/>
      <c r="F75" s="198"/>
      <c r="G75" s="199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9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8"/>
    </row>
    <row r="76" ht="15.75" customHeight="1">
      <c r="A76" s="198"/>
      <c r="B76" s="198"/>
      <c r="C76" s="198"/>
      <c r="D76" s="198"/>
      <c r="E76" s="198"/>
      <c r="F76" s="198"/>
      <c r="G76" s="199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9"/>
      <c r="AA76" s="198"/>
      <c r="AB76" s="198"/>
      <c r="AC76" s="198"/>
      <c r="AD76" s="198"/>
      <c r="AE76" s="198"/>
      <c r="AF76" s="198"/>
      <c r="AG76" s="198"/>
      <c r="AH76" s="198"/>
      <c r="AI76" s="198"/>
      <c r="AJ76" s="198"/>
      <c r="AK76" s="198"/>
      <c r="AL76" s="198"/>
    </row>
    <row r="77" ht="15.75" customHeight="1">
      <c r="A77" s="198"/>
      <c r="B77" s="198"/>
      <c r="C77" s="198"/>
      <c r="D77" s="198"/>
      <c r="E77" s="198"/>
      <c r="F77" s="198"/>
      <c r="G77" s="199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9"/>
      <c r="AA77" s="198"/>
      <c r="AB77" s="198"/>
      <c r="AC77" s="198"/>
      <c r="AD77" s="198"/>
      <c r="AE77" s="198"/>
      <c r="AF77" s="198"/>
      <c r="AG77" s="198"/>
      <c r="AH77" s="198"/>
      <c r="AI77" s="198"/>
      <c r="AJ77" s="198"/>
      <c r="AK77" s="198"/>
      <c r="AL77" s="198"/>
    </row>
    <row r="78" ht="15.75" customHeight="1">
      <c r="A78" s="198"/>
      <c r="B78" s="198"/>
      <c r="C78" s="198"/>
      <c r="D78" s="198"/>
      <c r="E78" s="198"/>
      <c r="F78" s="198"/>
      <c r="G78" s="199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9"/>
      <c r="AA78" s="198"/>
      <c r="AB78" s="198"/>
      <c r="AC78" s="198"/>
      <c r="AD78" s="198"/>
      <c r="AE78" s="198"/>
      <c r="AF78" s="198"/>
      <c r="AG78" s="198"/>
      <c r="AH78" s="198"/>
      <c r="AI78" s="198"/>
      <c r="AJ78" s="198"/>
      <c r="AK78" s="198"/>
      <c r="AL78" s="198"/>
    </row>
    <row r="79" ht="15.75" customHeight="1">
      <c r="A79" s="198"/>
      <c r="B79" s="198"/>
      <c r="C79" s="198"/>
      <c r="D79" s="198"/>
      <c r="E79" s="198"/>
      <c r="F79" s="198"/>
      <c r="G79" s="199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9"/>
      <c r="AA79" s="198"/>
      <c r="AB79" s="198"/>
      <c r="AC79" s="198"/>
      <c r="AD79" s="198"/>
      <c r="AE79" s="198"/>
      <c r="AF79" s="198"/>
      <c r="AG79" s="198"/>
      <c r="AH79" s="198"/>
      <c r="AI79" s="198"/>
      <c r="AJ79" s="198"/>
      <c r="AK79" s="198"/>
      <c r="AL79" s="198"/>
    </row>
    <row r="80" ht="15.75" customHeight="1">
      <c r="A80" s="198"/>
      <c r="B80" s="198"/>
      <c r="C80" s="198"/>
      <c r="D80" s="198"/>
      <c r="E80" s="198"/>
      <c r="F80" s="198"/>
      <c r="G80" s="199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9"/>
      <c r="AA80" s="198"/>
      <c r="AB80" s="198"/>
      <c r="AC80" s="198"/>
      <c r="AD80" s="198"/>
      <c r="AE80" s="198"/>
      <c r="AF80" s="198"/>
      <c r="AG80" s="198"/>
      <c r="AH80" s="198"/>
      <c r="AI80" s="198"/>
      <c r="AJ80" s="198"/>
      <c r="AK80" s="198"/>
      <c r="AL80" s="198"/>
    </row>
    <row r="81" ht="15.75" customHeight="1">
      <c r="A81" s="198"/>
      <c r="B81" s="198"/>
      <c r="C81" s="198"/>
      <c r="D81" s="198"/>
      <c r="E81" s="198"/>
      <c r="F81" s="198"/>
      <c r="G81" s="199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9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</row>
    <row r="82" ht="15.75" customHeight="1">
      <c r="A82" s="198"/>
      <c r="B82" s="198"/>
      <c r="C82" s="198"/>
      <c r="D82" s="198"/>
      <c r="E82" s="198"/>
      <c r="F82" s="198"/>
      <c r="G82" s="199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9"/>
      <c r="AA82" s="198"/>
      <c r="AB82" s="198"/>
      <c r="AC82" s="198"/>
      <c r="AD82" s="198"/>
      <c r="AE82" s="198"/>
      <c r="AF82" s="198"/>
      <c r="AG82" s="198"/>
      <c r="AH82" s="198"/>
      <c r="AI82" s="198"/>
      <c r="AJ82" s="198"/>
      <c r="AK82" s="198"/>
      <c r="AL82" s="198"/>
    </row>
    <row r="83" ht="15.75" customHeight="1">
      <c r="A83" s="198"/>
      <c r="B83" s="198"/>
      <c r="C83" s="198"/>
      <c r="D83" s="198"/>
      <c r="E83" s="198"/>
      <c r="F83" s="198"/>
      <c r="G83" s="199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9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</row>
    <row r="84" ht="15.75" customHeight="1">
      <c r="A84" s="198"/>
      <c r="B84" s="198"/>
      <c r="C84" s="198"/>
      <c r="D84" s="198"/>
      <c r="E84" s="198"/>
      <c r="F84" s="198"/>
      <c r="G84" s="199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9"/>
      <c r="AA84" s="198"/>
      <c r="AB84" s="198"/>
      <c r="AC84" s="198"/>
      <c r="AD84" s="198"/>
      <c r="AE84" s="198"/>
      <c r="AF84" s="198"/>
      <c r="AG84" s="198"/>
      <c r="AH84" s="198"/>
      <c r="AI84" s="198"/>
      <c r="AJ84" s="198"/>
      <c r="AK84" s="198"/>
      <c r="AL84" s="198"/>
    </row>
    <row r="85" ht="15.75" customHeight="1">
      <c r="A85" s="198"/>
      <c r="B85" s="198"/>
      <c r="C85" s="198"/>
      <c r="D85" s="198"/>
      <c r="E85" s="198"/>
      <c r="F85" s="198"/>
      <c r="G85" s="199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9"/>
      <c r="AA85" s="198"/>
      <c r="AB85" s="198"/>
      <c r="AC85" s="198"/>
      <c r="AD85" s="198"/>
      <c r="AE85" s="198"/>
      <c r="AF85" s="198"/>
      <c r="AG85" s="198"/>
      <c r="AH85" s="198"/>
      <c r="AI85" s="198"/>
      <c r="AJ85" s="198"/>
      <c r="AK85" s="198"/>
      <c r="AL85" s="198"/>
    </row>
    <row r="86" ht="15.75" customHeight="1">
      <c r="A86" s="198"/>
      <c r="B86" s="198"/>
      <c r="C86" s="198"/>
      <c r="D86" s="198"/>
      <c r="E86" s="198"/>
      <c r="F86" s="198"/>
      <c r="G86" s="199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9"/>
      <c r="AA86" s="198"/>
      <c r="AB86" s="198"/>
      <c r="AC86" s="198"/>
      <c r="AD86" s="198"/>
      <c r="AE86" s="198"/>
      <c r="AF86" s="198"/>
      <c r="AG86" s="198"/>
      <c r="AH86" s="198"/>
      <c r="AI86" s="198"/>
      <c r="AJ86" s="198"/>
      <c r="AK86" s="198"/>
      <c r="AL86" s="198"/>
    </row>
    <row r="87" ht="15.75" customHeight="1">
      <c r="A87" s="198"/>
      <c r="B87" s="198"/>
      <c r="C87" s="198"/>
      <c r="D87" s="198"/>
      <c r="E87" s="198"/>
      <c r="F87" s="198"/>
      <c r="G87" s="199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9"/>
      <c r="AA87" s="198"/>
      <c r="AB87" s="198"/>
      <c r="AC87" s="198"/>
      <c r="AD87" s="198"/>
      <c r="AE87" s="198"/>
      <c r="AF87" s="198"/>
      <c r="AG87" s="198"/>
      <c r="AH87" s="198"/>
      <c r="AI87" s="198"/>
      <c r="AJ87" s="198"/>
      <c r="AK87" s="198"/>
      <c r="AL87" s="198"/>
    </row>
    <row r="88" ht="15.75" customHeight="1">
      <c r="A88" s="198"/>
      <c r="B88" s="198"/>
      <c r="C88" s="198"/>
      <c r="D88" s="198"/>
      <c r="E88" s="198"/>
      <c r="F88" s="198"/>
      <c r="G88" s="199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9"/>
      <c r="AA88" s="198"/>
      <c r="AB88" s="198"/>
      <c r="AC88" s="198"/>
      <c r="AD88" s="198"/>
      <c r="AE88" s="198"/>
      <c r="AF88" s="198"/>
      <c r="AG88" s="198"/>
      <c r="AH88" s="198"/>
      <c r="AI88" s="198"/>
      <c r="AJ88" s="198"/>
      <c r="AK88" s="198"/>
      <c r="AL88" s="198"/>
    </row>
    <row r="89" ht="15.75" customHeight="1">
      <c r="A89" s="198"/>
      <c r="B89" s="198"/>
      <c r="C89" s="198"/>
      <c r="D89" s="198"/>
      <c r="E89" s="198"/>
      <c r="F89" s="198"/>
      <c r="G89" s="199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9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</row>
    <row r="90" ht="15.75" customHeight="1">
      <c r="A90" s="198"/>
      <c r="B90" s="198"/>
      <c r="C90" s="198"/>
      <c r="D90" s="198"/>
      <c r="E90" s="198"/>
      <c r="F90" s="198"/>
      <c r="G90" s="199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9"/>
      <c r="AA90" s="198"/>
      <c r="AB90" s="198"/>
      <c r="AC90" s="198"/>
      <c r="AD90" s="198"/>
      <c r="AE90" s="198"/>
      <c r="AF90" s="198"/>
      <c r="AG90" s="198"/>
      <c r="AH90" s="198"/>
      <c r="AI90" s="198"/>
      <c r="AJ90" s="198"/>
      <c r="AK90" s="198"/>
      <c r="AL90" s="198"/>
    </row>
    <row r="91" ht="15.75" customHeight="1">
      <c r="A91" s="198"/>
      <c r="B91" s="198"/>
      <c r="C91" s="198"/>
      <c r="D91" s="198"/>
      <c r="E91" s="198"/>
      <c r="F91" s="198"/>
      <c r="G91" s="199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9"/>
      <c r="AA91" s="198"/>
      <c r="AB91" s="198"/>
      <c r="AC91" s="198"/>
      <c r="AD91" s="198"/>
      <c r="AE91" s="198"/>
      <c r="AF91" s="198"/>
      <c r="AG91" s="198"/>
      <c r="AH91" s="198"/>
      <c r="AI91" s="198"/>
      <c r="AJ91" s="198"/>
      <c r="AK91" s="198"/>
      <c r="AL91" s="198"/>
    </row>
    <row r="92" ht="15.75" customHeight="1">
      <c r="A92" s="198"/>
      <c r="B92" s="198"/>
      <c r="C92" s="198"/>
      <c r="D92" s="198"/>
      <c r="E92" s="198"/>
      <c r="F92" s="198"/>
      <c r="G92" s="199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9"/>
      <c r="AA92" s="198"/>
      <c r="AB92" s="198"/>
      <c r="AC92" s="198"/>
      <c r="AD92" s="198"/>
      <c r="AE92" s="198"/>
      <c r="AF92" s="198"/>
      <c r="AG92" s="198"/>
      <c r="AH92" s="198"/>
      <c r="AI92" s="198"/>
      <c r="AJ92" s="198"/>
      <c r="AK92" s="198"/>
      <c r="AL92" s="198"/>
    </row>
    <row r="93" ht="15.75" customHeight="1">
      <c r="A93" s="198"/>
      <c r="B93" s="198"/>
      <c r="C93" s="198"/>
      <c r="D93" s="198"/>
      <c r="E93" s="198"/>
      <c r="F93" s="198"/>
      <c r="G93" s="199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9"/>
      <c r="AA93" s="198"/>
      <c r="AB93" s="198"/>
      <c r="AC93" s="198"/>
      <c r="AD93" s="198"/>
      <c r="AE93" s="198"/>
      <c r="AF93" s="198"/>
      <c r="AG93" s="198"/>
      <c r="AH93" s="198"/>
      <c r="AI93" s="198"/>
      <c r="AJ93" s="198"/>
      <c r="AK93" s="198"/>
      <c r="AL93" s="198"/>
    </row>
    <row r="94" ht="15.75" customHeight="1">
      <c r="A94" s="198"/>
      <c r="B94" s="198"/>
      <c r="C94" s="198"/>
      <c r="D94" s="198"/>
      <c r="E94" s="198"/>
      <c r="F94" s="198"/>
      <c r="G94" s="199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9"/>
      <c r="AA94" s="198"/>
      <c r="AB94" s="198"/>
      <c r="AC94" s="198"/>
      <c r="AD94" s="198"/>
      <c r="AE94" s="198"/>
      <c r="AF94" s="198"/>
      <c r="AG94" s="198"/>
      <c r="AH94" s="198"/>
      <c r="AI94" s="198"/>
      <c r="AJ94" s="198"/>
      <c r="AK94" s="198"/>
      <c r="AL94" s="198"/>
    </row>
    <row r="95" ht="15.75" customHeight="1">
      <c r="A95" s="198"/>
      <c r="B95" s="198"/>
      <c r="C95" s="198"/>
      <c r="D95" s="198"/>
      <c r="E95" s="198"/>
      <c r="F95" s="198"/>
      <c r="G95" s="199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9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</row>
    <row r="96" ht="15.75" customHeight="1">
      <c r="A96" s="198"/>
      <c r="B96" s="198"/>
      <c r="C96" s="198"/>
      <c r="D96" s="198"/>
      <c r="E96" s="198"/>
      <c r="F96" s="198"/>
      <c r="G96" s="199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9"/>
      <c r="AA96" s="198"/>
      <c r="AB96" s="198"/>
      <c r="AC96" s="198"/>
      <c r="AD96" s="198"/>
      <c r="AE96" s="198"/>
      <c r="AF96" s="198"/>
      <c r="AG96" s="198"/>
      <c r="AH96" s="198"/>
      <c r="AI96" s="198"/>
      <c r="AJ96" s="198"/>
      <c r="AK96" s="198"/>
      <c r="AL96" s="198"/>
    </row>
    <row r="97" ht="15.75" customHeight="1">
      <c r="A97" s="198"/>
      <c r="B97" s="198"/>
      <c r="C97" s="198"/>
      <c r="D97" s="198"/>
      <c r="E97" s="198"/>
      <c r="F97" s="198"/>
      <c r="G97" s="199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9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</row>
    <row r="98" ht="15.75" customHeight="1">
      <c r="A98" s="198"/>
      <c r="B98" s="198"/>
      <c r="C98" s="198"/>
      <c r="D98" s="198"/>
      <c r="E98" s="198"/>
      <c r="F98" s="198"/>
      <c r="G98" s="199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9"/>
      <c r="AA98" s="198"/>
      <c r="AB98" s="198"/>
      <c r="AC98" s="198"/>
      <c r="AD98" s="198"/>
      <c r="AE98" s="198"/>
      <c r="AF98" s="198"/>
      <c r="AG98" s="198"/>
      <c r="AH98" s="198"/>
      <c r="AI98" s="198"/>
      <c r="AJ98" s="198"/>
      <c r="AK98" s="198"/>
      <c r="AL98" s="198"/>
    </row>
    <row r="99" ht="15.75" customHeight="1">
      <c r="A99" s="198"/>
      <c r="B99" s="198"/>
      <c r="C99" s="198"/>
      <c r="D99" s="198"/>
      <c r="E99" s="198"/>
      <c r="F99" s="198"/>
      <c r="G99" s="199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9"/>
      <c r="AA99" s="198"/>
      <c r="AB99" s="198"/>
      <c r="AC99" s="198"/>
      <c r="AD99" s="198"/>
      <c r="AE99" s="198"/>
      <c r="AF99" s="198"/>
      <c r="AG99" s="198"/>
      <c r="AH99" s="198"/>
      <c r="AI99" s="198"/>
      <c r="AJ99" s="198"/>
      <c r="AK99" s="198"/>
      <c r="AL99" s="198"/>
    </row>
    <row r="100" ht="15.75" customHeight="1">
      <c r="A100" s="198"/>
      <c r="B100" s="198"/>
      <c r="C100" s="198"/>
      <c r="D100" s="198"/>
      <c r="E100" s="198"/>
      <c r="F100" s="198"/>
      <c r="G100" s="199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9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</row>
    <row r="101" ht="15.75" customHeight="1">
      <c r="A101" s="198"/>
      <c r="B101" s="198"/>
      <c r="C101" s="198"/>
      <c r="D101" s="198"/>
      <c r="E101" s="198"/>
      <c r="F101" s="198"/>
      <c r="G101" s="199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9"/>
      <c r="AA101" s="198"/>
      <c r="AB101" s="198"/>
      <c r="AC101" s="198"/>
      <c r="AD101" s="198"/>
      <c r="AE101" s="198"/>
      <c r="AF101" s="198"/>
      <c r="AG101" s="198"/>
      <c r="AH101" s="198"/>
      <c r="AI101" s="198"/>
      <c r="AJ101" s="198"/>
      <c r="AK101" s="198"/>
      <c r="AL101" s="198"/>
    </row>
    <row r="102" ht="15.75" customHeight="1">
      <c r="A102" s="198"/>
      <c r="B102" s="198"/>
      <c r="C102" s="198"/>
      <c r="D102" s="198"/>
      <c r="E102" s="198"/>
      <c r="F102" s="198"/>
      <c r="G102" s="199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9"/>
      <c r="AA102" s="198"/>
      <c r="AB102" s="198"/>
      <c r="AC102" s="198"/>
      <c r="AD102" s="198"/>
      <c r="AE102" s="198"/>
      <c r="AF102" s="198"/>
      <c r="AG102" s="198"/>
      <c r="AH102" s="198"/>
      <c r="AI102" s="198"/>
      <c r="AJ102" s="198"/>
      <c r="AK102" s="198"/>
      <c r="AL102" s="198"/>
    </row>
    <row r="103" ht="15.75" customHeight="1">
      <c r="A103" s="198"/>
      <c r="B103" s="198"/>
      <c r="C103" s="198"/>
      <c r="D103" s="198"/>
      <c r="E103" s="198"/>
      <c r="F103" s="198"/>
      <c r="G103" s="199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9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</row>
    <row r="104" ht="15.75" customHeight="1">
      <c r="A104" s="198"/>
      <c r="B104" s="198"/>
      <c r="C104" s="198"/>
      <c r="D104" s="198"/>
      <c r="E104" s="198"/>
      <c r="F104" s="198"/>
      <c r="G104" s="199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9"/>
      <c r="AA104" s="198"/>
      <c r="AB104" s="198"/>
      <c r="AC104" s="198"/>
      <c r="AD104" s="198"/>
      <c r="AE104" s="198"/>
      <c r="AF104" s="198"/>
      <c r="AG104" s="198"/>
      <c r="AH104" s="198"/>
      <c r="AI104" s="198"/>
      <c r="AJ104" s="198"/>
      <c r="AK104" s="198"/>
      <c r="AL104" s="198"/>
    </row>
    <row r="105" ht="15.75" customHeight="1">
      <c r="A105" s="198"/>
      <c r="B105" s="198"/>
      <c r="C105" s="198"/>
      <c r="D105" s="198"/>
      <c r="E105" s="198"/>
      <c r="F105" s="198"/>
      <c r="G105" s="199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9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</row>
    <row r="106" ht="15.75" customHeight="1">
      <c r="A106" s="198"/>
      <c r="B106" s="198"/>
      <c r="C106" s="198"/>
      <c r="D106" s="198"/>
      <c r="E106" s="198"/>
      <c r="F106" s="198"/>
      <c r="G106" s="199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9"/>
      <c r="AA106" s="198"/>
      <c r="AB106" s="198"/>
      <c r="AC106" s="198"/>
      <c r="AD106" s="198"/>
      <c r="AE106" s="198"/>
      <c r="AF106" s="198"/>
      <c r="AG106" s="198"/>
      <c r="AH106" s="198"/>
      <c r="AI106" s="198"/>
      <c r="AJ106" s="198"/>
      <c r="AK106" s="198"/>
      <c r="AL106" s="198"/>
    </row>
    <row r="107" ht="15.75" customHeight="1">
      <c r="A107" s="198"/>
      <c r="B107" s="198"/>
      <c r="C107" s="198"/>
      <c r="D107" s="198"/>
      <c r="E107" s="198"/>
      <c r="F107" s="198"/>
      <c r="G107" s="199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9"/>
      <c r="AA107" s="198"/>
      <c r="AB107" s="198"/>
      <c r="AC107" s="198"/>
      <c r="AD107" s="198"/>
      <c r="AE107" s="198"/>
      <c r="AF107" s="198"/>
      <c r="AG107" s="198"/>
      <c r="AH107" s="198"/>
      <c r="AI107" s="198"/>
      <c r="AJ107" s="198"/>
      <c r="AK107" s="198"/>
      <c r="AL107" s="198"/>
    </row>
    <row r="108" ht="15.75" customHeight="1">
      <c r="A108" s="198"/>
      <c r="B108" s="198"/>
      <c r="C108" s="198"/>
      <c r="D108" s="198"/>
      <c r="E108" s="198"/>
      <c r="F108" s="198"/>
      <c r="G108" s="199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9"/>
      <c r="AA108" s="198"/>
      <c r="AB108" s="198"/>
      <c r="AC108" s="198"/>
      <c r="AD108" s="198"/>
      <c r="AE108" s="198"/>
      <c r="AF108" s="198"/>
      <c r="AG108" s="198"/>
      <c r="AH108" s="198"/>
      <c r="AI108" s="198"/>
      <c r="AJ108" s="198"/>
      <c r="AK108" s="198"/>
      <c r="AL108" s="198"/>
    </row>
    <row r="109" ht="15.75" customHeight="1">
      <c r="A109" s="198"/>
      <c r="B109" s="198"/>
      <c r="C109" s="198"/>
      <c r="D109" s="198"/>
      <c r="E109" s="198"/>
      <c r="F109" s="198"/>
      <c r="G109" s="199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9"/>
      <c r="AA109" s="198"/>
      <c r="AB109" s="198"/>
      <c r="AC109" s="198"/>
      <c r="AD109" s="198"/>
      <c r="AE109" s="198"/>
      <c r="AF109" s="198"/>
      <c r="AG109" s="198"/>
      <c r="AH109" s="198"/>
      <c r="AI109" s="198"/>
      <c r="AJ109" s="198"/>
      <c r="AK109" s="198"/>
      <c r="AL109" s="198"/>
    </row>
    <row r="110" ht="15.75" customHeight="1">
      <c r="A110" s="198"/>
      <c r="B110" s="198"/>
      <c r="C110" s="198"/>
      <c r="D110" s="198"/>
      <c r="E110" s="198"/>
      <c r="F110" s="198"/>
      <c r="G110" s="199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9"/>
      <c r="AA110" s="198"/>
      <c r="AB110" s="198"/>
      <c r="AC110" s="198"/>
      <c r="AD110" s="198"/>
      <c r="AE110" s="198"/>
      <c r="AF110" s="198"/>
      <c r="AG110" s="198"/>
      <c r="AH110" s="198"/>
      <c r="AI110" s="198"/>
      <c r="AJ110" s="198"/>
      <c r="AK110" s="198"/>
      <c r="AL110" s="198"/>
    </row>
    <row r="111" ht="15.75" customHeight="1">
      <c r="A111" s="198"/>
      <c r="B111" s="198"/>
      <c r="C111" s="198"/>
      <c r="D111" s="198"/>
      <c r="E111" s="198"/>
      <c r="F111" s="198"/>
      <c r="G111" s="199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9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</row>
    <row r="112" ht="15.75" customHeight="1">
      <c r="A112" s="198"/>
      <c r="B112" s="198"/>
      <c r="C112" s="198"/>
      <c r="D112" s="198"/>
      <c r="E112" s="198"/>
      <c r="F112" s="198"/>
      <c r="G112" s="199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9"/>
      <c r="AA112" s="198"/>
      <c r="AB112" s="198"/>
      <c r="AC112" s="198"/>
      <c r="AD112" s="198"/>
      <c r="AE112" s="198"/>
      <c r="AF112" s="198"/>
      <c r="AG112" s="198"/>
      <c r="AH112" s="198"/>
      <c r="AI112" s="198"/>
      <c r="AJ112" s="198"/>
      <c r="AK112" s="198"/>
      <c r="AL112" s="198"/>
    </row>
    <row r="113" ht="15.75" customHeight="1">
      <c r="A113" s="198"/>
      <c r="B113" s="198"/>
      <c r="C113" s="198"/>
      <c r="D113" s="198"/>
      <c r="E113" s="198"/>
      <c r="F113" s="198"/>
      <c r="G113" s="199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9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</row>
    <row r="114" ht="15.75" customHeight="1">
      <c r="A114" s="198"/>
      <c r="B114" s="198"/>
      <c r="C114" s="198"/>
      <c r="D114" s="198"/>
      <c r="E114" s="198"/>
      <c r="F114" s="198"/>
      <c r="G114" s="199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9"/>
      <c r="AA114" s="198"/>
      <c r="AB114" s="198"/>
      <c r="AC114" s="198"/>
      <c r="AD114" s="198"/>
      <c r="AE114" s="198"/>
      <c r="AF114" s="198"/>
      <c r="AG114" s="198"/>
      <c r="AH114" s="198"/>
      <c r="AI114" s="198"/>
      <c r="AJ114" s="198"/>
      <c r="AK114" s="198"/>
      <c r="AL114" s="198"/>
    </row>
    <row r="115" ht="15.75" customHeight="1">
      <c r="A115" s="198"/>
      <c r="B115" s="198"/>
      <c r="C115" s="198"/>
      <c r="D115" s="198"/>
      <c r="E115" s="198"/>
      <c r="F115" s="198"/>
      <c r="G115" s="199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9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</row>
    <row r="116" ht="15.75" customHeight="1">
      <c r="A116" s="198"/>
      <c r="B116" s="198"/>
      <c r="C116" s="198"/>
      <c r="D116" s="198"/>
      <c r="E116" s="198"/>
      <c r="F116" s="198"/>
      <c r="G116" s="199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9"/>
      <c r="AA116" s="198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</row>
    <row r="117" ht="15.75" customHeight="1">
      <c r="A117" s="198"/>
      <c r="B117" s="198"/>
      <c r="C117" s="198"/>
      <c r="D117" s="198"/>
      <c r="E117" s="198"/>
      <c r="F117" s="198"/>
      <c r="G117" s="199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9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</row>
    <row r="118" ht="15.75" customHeight="1">
      <c r="A118" s="198"/>
      <c r="B118" s="198"/>
      <c r="C118" s="198"/>
      <c r="D118" s="198"/>
      <c r="E118" s="198"/>
      <c r="F118" s="198"/>
      <c r="G118" s="199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9"/>
      <c r="AA118" s="198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</row>
    <row r="119" ht="15.75" customHeight="1">
      <c r="A119" s="198"/>
      <c r="B119" s="198"/>
      <c r="C119" s="198"/>
      <c r="D119" s="198"/>
      <c r="E119" s="198"/>
      <c r="F119" s="198"/>
      <c r="G119" s="199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9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</row>
    <row r="120" ht="15.75" customHeight="1">
      <c r="A120" s="198"/>
      <c r="B120" s="198"/>
      <c r="C120" s="198"/>
      <c r="D120" s="198"/>
      <c r="E120" s="198"/>
      <c r="F120" s="198"/>
      <c r="G120" s="199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9"/>
      <c r="AA120" s="198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</row>
    <row r="121" ht="15.75" customHeight="1">
      <c r="A121" s="198"/>
      <c r="B121" s="198"/>
      <c r="C121" s="198"/>
      <c r="D121" s="198"/>
      <c r="E121" s="198"/>
      <c r="F121" s="198"/>
      <c r="G121" s="199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9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</row>
    <row r="122" ht="15.75" customHeight="1">
      <c r="A122" s="198"/>
      <c r="B122" s="198"/>
      <c r="C122" s="198"/>
      <c r="D122" s="198"/>
      <c r="E122" s="198"/>
      <c r="F122" s="198"/>
      <c r="G122" s="199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9"/>
      <c r="AA122" s="198"/>
      <c r="AB122" s="198"/>
      <c r="AC122" s="198"/>
      <c r="AD122" s="198"/>
      <c r="AE122" s="198"/>
      <c r="AF122" s="198"/>
      <c r="AG122" s="198"/>
      <c r="AH122" s="198"/>
      <c r="AI122" s="198"/>
      <c r="AJ122" s="198"/>
      <c r="AK122" s="198"/>
      <c r="AL122" s="198"/>
    </row>
    <row r="123" ht="15.75" customHeight="1">
      <c r="A123" s="198"/>
      <c r="B123" s="198"/>
      <c r="C123" s="198"/>
      <c r="D123" s="198"/>
      <c r="E123" s="198"/>
      <c r="F123" s="198"/>
      <c r="G123" s="199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9"/>
      <c r="AA123" s="198"/>
      <c r="AB123" s="198"/>
      <c r="AC123" s="198"/>
      <c r="AD123" s="198"/>
      <c r="AE123" s="198"/>
      <c r="AF123" s="198"/>
      <c r="AG123" s="198"/>
      <c r="AH123" s="198"/>
      <c r="AI123" s="198"/>
      <c r="AJ123" s="198"/>
      <c r="AK123" s="198"/>
      <c r="AL123" s="198"/>
    </row>
    <row r="124" ht="15.75" customHeight="1">
      <c r="A124" s="198"/>
      <c r="B124" s="198"/>
      <c r="C124" s="198"/>
      <c r="D124" s="198"/>
      <c r="E124" s="198"/>
      <c r="F124" s="198"/>
      <c r="G124" s="199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9"/>
      <c r="AA124" s="198"/>
      <c r="AB124" s="198"/>
      <c r="AC124" s="198"/>
      <c r="AD124" s="198"/>
      <c r="AE124" s="198"/>
      <c r="AF124" s="198"/>
      <c r="AG124" s="198"/>
      <c r="AH124" s="198"/>
      <c r="AI124" s="198"/>
      <c r="AJ124" s="198"/>
      <c r="AK124" s="198"/>
      <c r="AL124" s="198"/>
    </row>
    <row r="125" ht="15.75" customHeight="1">
      <c r="A125" s="198"/>
      <c r="B125" s="198"/>
      <c r="C125" s="198"/>
      <c r="D125" s="198"/>
      <c r="E125" s="198"/>
      <c r="F125" s="198"/>
      <c r="G125" s="199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9"/>
      <c r="AA125" s="198"/>
      <c r="AB125" s="198"/>
      <c r="AC125" s="198"/>
      <c r="AD125" s="198"/>
      <c r="AE125" s="198"/>
      <c r="AF125" s="198"/>
      <c r="AG125" s="198"/>
      <c r="AH125" s="198"/>
      <c r="AI125" s="198"/>
      <c r="AJ125" s="198"/>
      <c r="AK125" s="198"/>
      <c r="AL125" s="198"/>
    </row>
    <row r="126" ht="15.75" customHeight="1">
      <c r="A126" s="198"/>
      <c r="B126" s="198"/>
      <c r="C126" s="198"/>
      <c r="D126" s="198"/>
      <c r="E126" s="198"/>
      <c r="F126" s="198"/>
      <c r="G126" s="199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9"/>
      <c r="AA126" s="198"/>
      <c r="AB126" s="198"/>
      <c r="AC126" s="198"/>
      <c r="AD126" s="198"/>
      <c r="AE126" s="198"/>
      <c r="AF126" s="198"/>
      <c r="AG126" s="198"/>
      <c r="AH126" s="198"/>
      <c r="AI126" s="198"/>
      <c r="AJ126" s="198"/>
      <c r="AK126" s="198"/>
      <c r="AL126" s="198"/>
    </row>
    <row r="127" ht="15.75" customHeight="1">
      <c r="A127" s="198"/>
      <c r="B127" s="198"/>
      <c r="C127" s="198"/>
      <c r="D127" s="198"/>
      <c r="E127" s="198"/>
      <c r="F127" s="198"/>
      <c r="G127" s="199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9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</row>
    <row r="128" ht="15.75" customHeight="1">
      <c r="A128" s="198"/>
      <c r="B128" s="198"/>
      <c r="C128" s="198"/>
      <c r="D128" s="198"/>
      <c r="E128" s="198"/>
      <c r="F128" s="198"/>
      <c r="G128" s="199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9"/>
      <c r="AA128" s="198"/>
      <c r="AB128" s="198"/>
      <c r="AC128" s="198"/>
      <c r="AD128" s="198"/>
      <c r="AE128" s="198"/>
      <c r="AF128" s="198"/>
      <c r="AG128" s="198"/>
      <c r="AH128" s="198"/>
      <c r="AI128" s="198"/>
      <c r="AJ128" s="198"/>
      <c r="AK128" s="198"/>
      <c r="AL128" s="198"/>
    </row>
    <row r="129" ht="15.75" customHeight="1">
      <c r="A129" s="198"/>
      <c r="B129" s="198"/>
      <c r="C129" s="198"/>
      <c r="D129" s="198"/>
      <c r="E129" s="198"/>
      <c r="F129" s="198"/>
      <c r="G129" s="199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9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</row>
    <row r="130" ht="15.75" customHeight="1">
      <c r="A130" s="198"/>
      <c r="B130" s="198"/>
      <c r="C130" s="198"/>
      <c r="D130" s="198"/>
      <c r="E130" s="198"/>
      <c r="F130" s="198"/>
      <c r="G130" s="199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9"/>
      <c r="AA130" s="198"/>
      <c r="AB130" s="198"/>
      <c r="AC130" s="198"/>
      <c r="AD130" s="198"/>
      <c r="AE130" s="198"/>
      <c r="AF130" s="198"/>
      <c r="AG130" s="198"/>
      <c r="AH130" s="198"/>
      <c r="AI130" s="198"/>
      <c r="AJ130" s="198"/>
      <c r="AK130" s="198"/>
      <c r="AL130" s="198"/>
    </row>
    <row r="131" ht="15.75" customHeight="1">
      <c r="A131" s="198"/>
      <c r="B131" s="198"/>
      <c r="C131" s="198"/>
      <c r="D131" s="198"/>
      <c r="E131" s="198"/>
      <c r="F131" s="198"/>
      <c r="G131" s="199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9"/>
      <c r="AA131" s="198"/>
      <c r="AB131" s="198"/>
      <c r="AC131" s="198"/>
      <c r="AD131" s="198"/>
      <c r="AE131" s="198"/>
      <c r="AF131" s="198"/>
      <c r="AG131" s="198"/>
      <c r="AH131" s="198"/>
      <c r="AI131" s="198"/>
      <c r="AJ131" s="198"/>
      <c r="AK131" s="198"/>
      <c r="AL131" s="198"/>
    </row>
    <row r="132" ht="15.75" customHeight="1">
      <c r="A132" s="198"/>
      <c r="B132" s="198"/>
      <c r="C132" s="198"/>
      <c r="D132" s="198"/>
      <c r="E132" s="198"/>
      <c r="F132" s="198"/>
      <c r="G132" s="199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9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</row>
    <row r="133" ht="15.75" customHeight="1">
      <c r="A133" s="198"/>
      <c r="B133" s="198"/>
      <c r="C133" s="198"/>
      <c r="D133" s="198"/>
      <c r="E133" s="198"/>
      <c r="F133" s="198"/>
      <c r="G133" s="199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9"/>
      <c r="AA133" s="198"/>
      <c r="AB133" s="198"/>
      <c r="AC133" s="198"/>
      <c r="AD133" s="198"/>
      <c r="AE133" s="198"/>
      <c r="AF133" s="198"/>
      <c r="AG133" s="198"/>
      <c r="AH133" s="198"/>
      <c r="AI133" s="198"/>
      <c r="AJ133" s="198"/>
      <c r="AK133" s="198"/>
      <c r="AL133" s="198"/>
    </row>
    <row r="134" ht="15.75" customHeight="1">
      <c r="A134" s="198"/>
      <c r="B134" s="198"/>
      <c r="C134" s="198"/>
      <c r="D134" s="198"/>
      <c r="E134" s="198"/>
      <c r="F134" s="198"/>
      <c r="G134" s="199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9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</row>
    <row r="135" ht="15.75" customHeight="1">
      <c r="A135" s="198"/>
      <c r="B135" s="198"/>
      <c r="C135" s="198"/>
      <c r="D135" s="198"/>
      <c r="E135" s="198"/>
      <c r="F135" s="198"/>
      <c r="G135" s="199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9"/>
      <c r="AA135" s="198"/>
      <c r="AB135" s="198"/>
      <c r="AC135" s="198"/>
      <c r="AD135" s="198"/>
      <c r="AE135" s="198"/>
      <c r="AF135" s="198"/>
      <c r="AG135" s="198"/>
      <c r="AH135" s="198"/>
      <c r="AI135" s="198"/>
      <c r="AJ135" s="198"/>
      <c r="AK135" s="198"/>
      <c r="AL135" s="198"/>
    </row>
    <row r="136" ht="15.75" customHeight="1">
      <c r="A136" s="198"/>
      <c r="B136" s="198"/>
      <c r="C136" s="198"/>
      <c r="D136" s="198"/>
      <c r="E136" s="198"/>
      <c r="F136" s="198"/>
      <c r="G136" s="199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9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</row>
    <row r="137" ht="15.75" customHeight="1">
      <c r="A137" s="198"/>
      <c r="B137" s="198"/>
      <c r="C137" s="198"/>
      <c r="D137" s="198"/>
      <c r="E137" s="198"/>
      <c r="F137" s="198"/>
      <c r="G137" s="199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9"/>
      <c r="AA137" s="198"/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</row>
    <row r="138" ht="15.75" customHeight="1">
      <c r="A138" s="198"/>
      <c r="B138" s="198"/>
      <c r="C138" s="198"/>
      <c r="D138" s="198"/>
      <c r="E138" s="198"/>
      <c r="F138" s="198"/>
      <c r="G138" s="199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9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</row>
    <row r="139" ht="15.75" customHeight="1">
      <c r="A139" s="198"/>
      <c r="B139" s="198"/>
      <c r="C139" s="198"/>
      <c r="D139" s="198"/>
      <c r="E139" s="198"/>
      <c r="F139" s="198"/>
      <c r="G139" s="199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9"/>
      <c r="AA139" s="198"/>
      <c r="AB139" s="198"/>
      <c r="AC139" s="198"/>
      <c r="AD139" s="198"/>
      <c r="AE139" s="198"/>
      <c r="AF139" s="198"/>
      <c r="AG139" s="198"/>
      <c r="AH139" s="198"/>
      <c r="AI139" s="198"/>
      <c r="AJ139" s="198"/>
      <c r="AK139" s="198"/>
      <c r="AL139" s="198"/>
    </row>
    <row r="140" ht="15.75" customHeight="1">
      <c r="A140" s="198"/>
      <c r="B140" s="198"/>
      <c r="C140" s="198"/>
      <c r="D140" s="198"/>
      <c r="E140" s="198"/>
      <c r="F140" s="198"/>
      <c r="G140" s="199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9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</row>
    <row r="141" ht="15.75" customHeight="1">
      <c r="A141" s="198"/>
      <c r="B141" s="198"/>
      <c r="C141" s="198"/>
      <c r="D141" s="198"/>
      <c r="E141" s="198"/>
      <c r="F141" s="198"/>
      <c r="G141" s="199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9"/>
      <c r="AA141" s="198"/>
      <c r="AB141" s="198"/>
      <c r="AC141" s="198"/>
      <c r="AD141" s="198"/>
      <c r="AE141" s="198"/>
      <c r="AF141" s="198"/>
      <c r="AG141" s="198"/>
      <c r="AH141" s="198"/>
      <c r="AI141" s="198"/>
      <c r="AJ141" s="198"/>
      <c r="AK141" s="198"/>
      <c r="AL141" s="198"/>
    </row>
    <row r="142" ht="15.75" customHeight="1">
      <c r="A142" s="198"/>
      <c r="B142" s="198"/>
      <c r="C142" s="198"/>
      <c r="D142" s="198"/>
      <c r="E142" s="198"/>
      <c r="F142" s="198"/>
      <c r="G142" s="199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9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</row>
    <row r="143" ht="15.75" customHeight="1">
      <c r="A143" s="198"/>
      <c r="B143" s="198"/>
      <c r="C143" s="198"/>
      <c r="D143" s="198"/>
      <c r="E143" s="198"/>
      <c r="F143" s="198"/>
      <c r="G143" s="199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9"/>
      <c r="AA143" s="198"/>
      <c r="AB143" s="198"/>
      <c r="AC143" s="198"/>
      <c r="AD143" s="198"/>
      <c r="AE143" s="198"/>
      <c r="AF143" s="198"/>
      <c r="AG143" s="198"/>
      <c r="AH143" s="198"/>
      <c r="AI143" s="198"/>
      <c r="AJ143" s="198"/>
      <c r="AK143" s="198"/>
      <c r="AL143" s="198"/>
    </row>
    <row r="144" ht="15.75" customHeight="1">
      <c r="A144" s="198"/>
      <c r="B144" s="198"/>
      <c r="C144" s="198"/>
      <c r="D144" s="198"/>
      <c r="E144" s="198"/>
      <c r="F144" s="198"/>
      <c r="G144" s="199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9"/>
      <c r="AA144" s="198"/>
      <c r="AB144" s="198"/>
      <c r="AC144" s="198"/>
      <c r="AD144" s="198"/>
      <c r="AE144" s="198"/>
      <c r="AF144" s="198"/>
      <c r="AG144" s="198"/>
      <c r="AH144" s="198"/>
      <c r="AI144" s="198"/>
      <c r="AJ144" s="198"/>
      <c r="AK144" s="198"/>
      <c r="AL144" s="198"/>
    </row>
    <row r="145" ht="15.75" customHeight="1">
      <c r="A145" s="198"/>
      <c r="B145" s="198"/>
      <c r="C145" s="198"/>
      <c r="D145" s="198"/>
      <c r="E145" s="198"/>
      <c r="F145" s="198"/>
      <c r="G145" s="199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9"/>
      <c r="AA145" s="198"/>
      <c r="AB145" s="198"/>
      <c r="AC145" s="198"/>
      <c r="AD145" s="198"/>
      <c r="AE145" s="198"/>
      <c r="AF145" s="198"/>
      <c r="AG145" s="198"/>
      <c r="AH145" s="198"/>
      <c r="AI145" s="198"/>
      <c r="AJ145" s="198"/>
      <c r="AK145" s="198"/>
      <c r="AL145" s="198"/>
    </row>
    <row r="146" ht="15.75" customHeight="1">
      <c r="A146" s="198"/>
      <c r="B146" s="198"/>
      <c r="C146" s="198"/>
      <c r="D146" s="198"/>
      <c r="E146" s="198"/>
      <c r="F146" s="198"/>
      <c r="G146" s="199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9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</row>
    <row r="147" ht="15.75" customHeight="1">
      <c r="A147" s="198"/>
      <c r="B147" s="198"/>
      <c r="C147" s="198"/>
      <c r="D147" s="198"/>
      <c r="E147" s="198"/>
      <c r="F147" s="198"/>
      <c r="G147" s="199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9"/>
      <c r="AA147" s="198"/>
      <c r="AB147" s="198"/>
      <c r="AC147" s="198"/>
      <c r="AD147" s="198"/>
      <c r="AE147" s="198"/>
      <c r="AF147" s="198"/>
      <c r="AG147" s="198"/>
      <c r="AH147" s="198"/>
      <c r="AI147" s="198"/>
      <c r="AJ147" s="198"/>
      <c r="AK147" s="198"/>
      <c r="AL147" s="198"/>
    </row>
    <row r="148" ht="15.75" customHeight="1">
      <c r="A148" s="198"/>
      <c r="B148" s="198"/>
      <c r="C148" s="198"/>
      <c r="D148" s="198"/>
      <c r="E148" s="198"/>
      <c r="F148" s="198"/>
      <c r="G148" s="199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9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</row>
    <row r="149" ht="15.75" customHeight="1">
      <c r="A149" s="198"/>
      <c r="B149" s="198"/>
      <c r="C149" s="198"/>
      <c r="D149" s="198"/>
      <c r="E149" s="198"/>
      <c r="F149" s="198"/>
      <c r="G149" s="199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9"/>
      <c r="AA149" s="198"/>
      <c r="AB149" s="198"/>
      <c r="AC149" s="198"/>
      <c r="AD149" s="198"/>
      <c r="AE149" s="198"/>
      <c r="AF149" s="198"/>
      <c r="AG149" s="198"/>
      <c r="AH149" s="198"/>
      <c r="AI149" s="198"/>
      <c r="AJ149" s="198"/>
      <c r="AK149" s="198"/>
      <c r="AL149" s="198"/>
    </row>
    <row r="150" ht="15.75" customHeight="1">
      <c r="A150" s="198"/>
      <c r="B150" s="198"/>
      <c r="C150" s="198"/>
      <c r="D150" s="198"/>
      <c r="E150" s="198"/>
      <c r="F150" s="198"/>
      <c r="G150" s="199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9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</row>
    <row r="151" ht="15.75" customHeight="1">
      <c r="A151" s="198"/>
      <c r="B151" s="198"/>
      <c r="C151" s="198"/>
      <c r="D151" s="198"/>
      <c r="E151" s="198"/>
      <c r="F151" s="198"/>
      <c r="G151" s="199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9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</row>
    <row r="152" ht="15.75" customHeight="1">
      <c r="A152" s="198"/>
      <c r="B152" s="198"/>
      <c r="C152" s="198"/>
      <c r="D152" s="198"/>
      <c r="E152" s="198"/>
      <c r="F152" s="198"/>
      <c r="G152" s="199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</row>
    <row r="153" ht="15.75" customHeight="1">
      <c r="A153" s="198"/>
      <c r="B153" s="198"/>
      <c r="C153" s="198"/>
      <c r="D153" s="198"/>
      <c r="E153" s="198"/>
      <c r="F153" s="198"/>
      <c r="G153" s="199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9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</row>
    <row r="154" ht="15.75" customHeight="1">
      <c r="A154" s="198"/>
      <c r="B154" s="198"/>
      <c r="C154" s="198"/>
      <c r="D154" s="198"/>
      <c r="E154" s="198"/>
      <c r="F154" s="198"/>
      <c r="G154" s="199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9"/>
      <c r="AA154" s="198"/>
      <c r="AB154" s="198"/>
      <c r="AC154" s="198"/>
      <c r="AD154" s="198"/>
      <c r="AE154" s="198"/>
      <c r="AF154" s="198"/>
      <c r="AG154" s="198"/>
      <c r="AH154" s="198"/>
      <c r="AI154" s="198"/>
      <c r="AJ154" s="198"/>
      <c r="AK154" s="198"/>
      <c r="AL154" s="198"/>
    </row>
    <row r="155" ht="15.75" customHeight="1">
      <c r="A155" s="198"/>
      <c r="B155" s="198"/>
      <c r="C155" s="198"/>
      <c r="D155" s="198"/>
      <c r="E155" s="198"/>
      <c r="F155" s="198"/>
      <c r="G155" s="199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9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</row>
    <row r="156" ht="15.75" customHeight="1">
      <c r="A156" s="198"/>
      <c r="B156" s="198"/>
      <c r="C156" s="198"/>
      <c r="D156" s="198"/>
      <c r="E156" s="198"/>
      <c r="F156" s="198"/>
      <c r="G156" s="199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9"/>
      <c r="AA156" s="198"/>
      <c r="AB156" s="198"/>
      <c r="AC156" s="198"/>
      <c r="AD156" s="198"/>
      <c r="AE156" s="198"/>
      <c r="AF156" s="198"/>
      <c r="AG156" s="198"/>
      <c r="AH156" s="198"/>
      <c r="AI156" s="198"/>
      <c r="AJ156" s="198"/>
      <c r="AK156" s="198"/>
      <c r="AL156" s="198"/>
    </row>
    <row r="157" ht="15.75" customHeight="1">
      <c r="A157" s="198"/>
      <c r="B157" s="198"/>
      <c r="C157" s="198"/>
      <c r="D157" s="198"/>
      <c r="E157" s="198"/>
      <c r="F157" s="198"/>
      <c r="G157" s="199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9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</row>
    <row r="158" ht="15.75" customHeight="1">
      <c r="A158" s="198"/>
      <c r="B158" s="198"/>
      <c r="C158" s="198"/>
      <c r="D158" s="198"/>
      <c r="E158" s="198"/>
      <c r="F158" s="198"/>
      <c r="G158" s="199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9"/>
      <c r="AA158" s="198"/>
      <c r="AB158" s="198"/>
      <c r="AC158" s="198"/>
      <c r="AD158" s="198"/>
      <c r="AE158" s="198"/>
      <c r="AF158" s="198"/>
      <c r="AG158" s="198"/>
      <c r="AH158" s="198"/>
      <c r="AI158" s="198"/>
      <c r="AJ158" s="198"/>
      <c r="AK158" s="198"/>
      <c r="AL158" s="198"/>
    </row>
    <row r="159" ht="15.75" customHeight="1">
      <c r="A159" s="198"/>
      <c r="B159" s="198"/>
      <c r="C159" s="198"/>
      <c r="D159" s="198"/>
      <c r="E159" s="198"/>
      <c r="F159" s="198"/>
      <c r="G159" s="199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9"/>
      <c r="AA159" s="198"/>
      <c r="AB159" s="198"/>
      <c r="AC159" s="198"/>
      <c r="AD159" s="198"/>
      <c r="AE159" s="198"/>
      <c r="AF159" s="198"/>
      <c r="AG159" s="198"/>
      <c r="AH159" s="198"/>
      <c r="AI159" s="198"/>
      <c r="AJ159" s="198"/>
      <c r="AK159" s="198"/>
      <c r="AL159" s="198"/>
    </row>
    <row r="160" ht="15.75" customHeight="1">
      <c r="A160" s="198"/>
      <c r="B160" s="198"/>
      <c r="C160" s="198"/>
      <c r="D160" s="198"/>
      <c r="E160" s="198"/>
      <c r="F160" s="198"/>
      <c r="G160" s="199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9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</row>
    <row r="161" ht="15.75" customHeight="1">
      <c r="A161" s="198"/>
      <c r="B161" s="198"/>
      <c r="C161" s="198"/>
      <c r="D161" s="198"/>
      <c r="E161" s="198"/>
      <c r="F161" s="198"/>
      <c r="G161" s="199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9"/>
      <c r="AA161" s="198"/>
      <c r="AB161" s="198"/>
      <c r="AC161" s="198"/>
      <c r="AD161" s="198"/>
      <c r="AE161" s="198"/>
      <c r="AF161" s="198"/>
      <c r="AG161" s="198"/>
      <c r="AH161" s="198"/>
      <c r="AI161" s="198"/>
      <c r="AJ161" s="198"/>
      <c r="AK161" s="198"/>
      <c r="AL161" s="198"/>
    </row>
    <row r="162" ht="15.75" customHeight="1">
      <c r="A162" s="198"/>
      <c r="B162" s="198"/>
      <c r="C162" s="198"/>
      <c r="D162" s="198"/>
      <c r="E162" s="198"/>
      <c r="F162" s="198"/>
      <c r="G162" s="199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9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</row>
    <row r="163" ht="15.75" customHeight="1">
      <c r="A163" s="198"/>
      <c r="B163" s="198"/>
      <c r="C163" s="198"/>
      <c r="D163" s="198"/>
      <c r="E163" s="198"/>
      <c r="F163" s="198"/>
      <c r="G163" s="199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9"/>
      <c r="AA163" s="198"/>
      <c r="AB163" s="198"/>
      <c r="AC163" s="198"/>
      <c r="AD163" s="198"/>
      <c r="AE163" s="198"/>
      <c r="AF163" s="198"/>
      <c r="AG163" s="198"/>
      <c r="AH163" s="198"/>
      <c r="AI163" s="198"/>
      <c r="AJ163" s="198"/>
      <c r="AK163" s="198"/>
      <c r="AL163" s="198"/>
    </row>
    <row r="164" ht="15.75" customHeight="1">
      <c r="A164" s="198"/>
      <c r="B164" s="198"/>
      <c r="C164" s="198"/>
      <c r="D164" s="198"/>
      <c r="E164" s="198"/>
      <c r="F164" s="198"/>
      <c r="G164" s="199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9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</row>
    <row r="165" ht="15.75" customHeight="1">
      <c r="A165" s="198"/>
      <c r="B165" s="198"/>
      <c r="C165" s="198"/>
      <c r="D165" s="198"/>
      <c r="E165" s="198"/>
      <c r="F165" s="198"/>
      <c r="G165" s="199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9"/>
      <c r="AA165" s="198"/>
      <c r="AB165" s="198"/>
      <c r="AC165" s="198"/>
      <c r="AD165" s="198"/>
      <c r="AE165" s="198"/>
      <c r="AF165" s="198"/>
      <c r="AG165" s="198"/>
      <c r="AH165" s="198"/>
      <c r="AI165" s="198"/>
      <c r="AJ165" s="198"/>
      <c r="AK165" s="198"/>
      <c r="AL165" s="198"/>
    </row>
    <row r="166" ht="15.75" customHeight="1">
      <c r="A166" s="198"/>
      <c r="B166" s="198"/>
      <c r="C166" s="198"/>
      <c r="D166" s="198"/>
      <c r="E166" s="198"/>
      <c r="F166" s="198"/>
      <c r="G166" s="199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9"/>
      <c r="AA166" s="198"/>
      <c r="AB166" s="198"/>
      <c r="AC166" s="198"/>
      <c r="AD166" s="198"/>
      <c r="AE166" s="198"/>
      <c r="AF166" s="198"/>
      <c r="AG166" s="198"/>
      <c r="AH166" s="198"/>
      <c r="AI166" s="198"/>
      <c r="AJ166" s="198"/>
      <c r="AK166" s="198"/>
      <c r="AL166" s="198"/>
    </row>
    <row r="167" ht="15.75" customHeight="1">
      <c r="A167" s="198"/>
      <c r="B167" s="198"/>
      <c r="C167" s="198"/>
      <c r="D167" s="198"/>
      <c r="E167" s="198"/>
      <c r="F167" s="198"/>
      <c r="G167" s="199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9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</row>
    <row r="168" ht="15.75" customHeight="1">
      <c r="A168" s="198"/>
      <c r="B168" s="198"/>
      <c r="C168" s="198"/>
      <c r="D168" s="198"/>
      <c r="E168" s="198"/>
      <c r="F168" s="198"/>
      <c r="G168" s="199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9"/>
      <c r="AA168" s="198"/>
      <c r="AB168" s="198"/>
      <c r="AC168" s="198"/>
      <c r="AD168" s="198"/>
      <c r="AE168" s="198"/>
      <c r="AF168" s="198"/>
      <c r="AG168" s="198"/>
      <c r="AH168" s="198"/>
      <c r="AI168" s="198"/>
      <c r="AJ168" s="198"/>
      <c r="AK168" s="198"/>
      <c r="AL168" s="198"/>
    </row>
    <row r="169" ht="15.75" customHeight="1">
      <c r="A169" s="198"/>
      <c r="B169" s="198"/>
      <c r="C169" s="198"/>
      <c r="D169" s="198"/>
      <c r="E169" s="198"/>
      <c r="F169" s="198"/>
      <c r="G169" s="199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9"/>
      <c r="AA169" s="198"/>
      <c r="AB169" s="198"/>
      <c r="AC169" s="198"/>
      <c r="AD169" s="198"/>
      <c r="AE169" s="198"/>
      <c r="AF169" s="198"/>
      <c r="AG169" s="198"/>
      <c r="AH169" s="198"/>
      <c r="AI169" s="198"/>
      <c r="AJ169" s="198"/>
      <c r="AK169" s="198"/>
      <c r="AL169" s="198"/>
    </row>
    <row r="170" ht="15.75" customHeight="1">
      <c r="A170" s="198"/>
      <c r="B170" s="198"/>
      <c r="C170" s="198"/>
      <c r="D170" s="198"/>
      <c r="E170" s="198"/>
      <c r="F170" s="198"/>
      <c r="G170" s="199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9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</row>
    <row r="171" ht="15.75" customHeight="1">
      <c r="A171" s="198"/>
      <c r="B171" s="198"/>
      <c r="C171" s="198"/>
      <c r="D171" s="198"/>
      <c r="E171" s="198"/>
      <c r="F171" s="198"/>
      <c r="G171" s="199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9"/>
      <c r="AA171" s="198"/>
      <c r="AB171" s="198"/>
      <c r="AC171" s="198"/>
      <c r="AD171" s="198"/>
      <c r="AE171" s="198"/>
      <c r="AF171" s="198"/>
      <c r="AG171" s="198"/>
      <c r="AH171" s="198"/>
      <c r="AI171" s="198"/>
      <c r="AJ171" s="198"/>
      <c r="AK171" s="198"/>
      <c r="AL171" s="198"/>
    </row>
    <row r="172" ht="15.75" customHeight="1">
      <c r="A172" s="198"/>
      <c r="B172" s="198"/>
      <c r="C172" s="198"/>
      <c r="D172" s="198"/>
      <c r="E172" s="198"/>
      <c r="F172" s="198"/>
      <c r="G172" s="199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9"/>
      <c r="AA172" s="198"/>
      <c r="AB172" s="198"/>
      <c r="AC172" s="198"/>
      <c r="AD172" s="198"/>
      <c r="AE172" s="198"/>
      <c r="AF172" s="198"/>
      <c r="AG172" s="198"/>
      <c r="AH172" s="198"/>
      <c r="AI172" s="198"/>
      <c r="AJ172" s="198"/>
      <c r="AK172" s="198"/>
      <c r="AL172" s="198"/>
    </row>
    <row r="173" ht="15.75" customHeight="1">
      <c r="A173" s="198"/>
      <c r="B173" s="198"/>
      <c r="C173" s="198"/>
      <c r="D173" s="198"/>
      <c r="E173" s="198"/>
      <c r="F173" s="198"/>
      <c r="G173" s="199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9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</row>
    <row r="174" ht="15.75" customHeight="1">
      <c r="A174" s="198"/>
      <c r="B174" s="198"/>
      <c r="C174" s="198"/>
      <c r="D174" s="198"/>
      <c r="E174" s="198"/>
      <c r="F174" s="198"/>
      <c r="G174" s="199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9"/>
      <c r="AA174" s="198"/>
      <c r="AB174" s="198"/>
      <c r="AC174" s="198"/>
      <c r="AD174" s="198"/>
      <c r="AE174" s="198"/>
      <c r="AF174" s="198"/>
      <c r="AG174" s="198"/>
      <c r="AH174" s="198"/>
      <c r="AI174" s="198"/>
      <c r="AJ174" s="198"/>
      <c r="AK174" s="198"/>
      <c r="AL174" s="198"/>
    </row>
    <row r="175" ht="15.75" customHeight="1">
      <c r="A175" s="198"/>
      <c r="B175" s="198"/>
      <c r="C175" s="198"/>
      <c r="D175" s="198"/>
      <c r="E175" s="198"/>
      <c r="F175" s="198"/>
      <c r="G175" s="199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9"/>
      <c r="AA175" s="198"/>
      <c r="AB175" s="198"/>
      <c r="AC175" s="198"/>
      <c r="AD175" s="198"/>
      <c r="AE175" s="198"/>
      <c r="AF175" s="198"/>
      <c r="AG175" s="198"/>
      <c r="AH175" s="198"/>
      <c r="AI175" s="198"/>
      <c r="AJ175" s="198"/>
      <c r="AK175" s="198"/>
      <c r="AL175" s="198"/>
    </row>
    <row r="176" ht="15.75" customHeight="1">
      <c r="A176" s="198"/>
      <c r="B176" s="198"/>
      <c r="C176" s="198"/>
      <c r="D176" s="198"/>
      <c r="E176" s="198"/>
      <c r="F176" s="198"/>
      <c r="G176" s="199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9"/>
      <c r="AA176" s="198"/>
      <c r="AB176" s="198"/>
      <c r="AC176" s="198"/>
      <c r="AD176" s="198"/>
      <c r="AE176" s="198"/>
      <c r="AF176" s="198"/>
      <c r="AG176" s="198"/>
      <c r="AH176" s="198"/>
      <c r="AI176" s="198"/>
      <c r="AJ176" s="198"/>
      <c r="AK176" s="198"/>
      <c r="AL176" s="198"/>
    </row>
    <row r="177" ht="15.75" customHeight="1">
      <c r="A177" s="198"/>
      <c r="B177" s="198"/>
      <c r="C177" s="198"/>
      <c r="D177" s="198"/>
      <c r="E177" s="198"/>
      <c r="F177" s="198"/>
      <c r="G177" s="199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9"/>
      <c r="AA177" s="198"/>
      <c r="AB177" s="198"/>
      <c r="AC177" s="198"/>
      <c r="AD177" s="198"/>
      <c r="AE177" s="198"/>
      <c r="AF177" s="198"/>
      <c r="AG177" s="198"/>
      <c r="AH177" s="198"/>
      <c r="AI177" s="198"/>
      <c r="AJ177" s="198"/>
      <c r="AK177" s="198"/>
      <c r="AL177" s="198"/>
    </row>
    <row r="178" ht="15.75" customHeight="1">
      <c r="A178" s="198"/>
      <c r="B178" s="198"/>
      <c r="C178" s="198"/>
      <c r="D178" s="198"/>
      <c r="E178" s="198"/>
      <c r="F178" s="198"/>
      <c r="G178" s="199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9"/>
      <c r="AA178" s="198"/>
      <c r="AB178" s="198"/>
      <c r="AC178" s="198"/>
      <c r="AD178" s="198"/>
      <c r="AE178" s="198"/>
      <c r="AF178" s="198"/>
      <c r="AG178" s="198"/>
      <c r="AH178" s="198"/>
      <c r="AI178" s="198"/>
      <c r="AJ178" s="198"/>
      <c r="AK178" s="198"/>
      <c r="AL178" s="198"/>
    </row>
    <row r="179" ht="15.75" customHeight="1">
      <c r="A179" s="198"/>
      <c r="B179" s="198"/>
      <c r="C179" s="198"/>
      <c r="D179" s="198"/>
      <c r="E179" s="198"/>
      <c r="F179" s="198"/>
      <c r="G179" s="199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9"/>
      <c r="AA179" s="198"/>
      <c r="AB179" s="198"/>
      <c r="AC179" s="198"/>
      <c r="AD179" s="198"/>
      <c r="AE179" s="198"/>
      <c r="AF179" s="198"/>
      <c r="AG179" s="198"/>
      <c r="AH179" s="198"/>
      <c r="AI179" s="198"/>
      <c r="AJ179" s="198"/>
      <c r="AK179" s="198"/>
      <c r="AL179" s="198"/>
    </row>
    <row r="180" ht="15.75" customHeight="1">
      <c r="A180" s="198"/>
      <c r="B180" s="198"/>
      <c r="C180" s="198"/>
      <c r="D180" s="198"/>
      <c r="E180" s="198"/>
      <c r="F180" s="198"/>
      <c r="G180" s="199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9"/>
      <c r="AA180" s="198"/>
      <c r="AB180" s="198"/>
      <c r="AC180" s="198"/>
      <c r="AD180" s="198"/>
      <c r="AE180" s="198"/>
      <c r="AF180" s="198"/>
      <c r="AG180" s="198"/>
      <c r="AH180" s="198"/>
      <c r="AI180" s="198"/>
      <c r="AJ180" s="198"/>
      <c r="AK180" s="198"/>
      <c r="AL180" s="198"/>
    </row>
    <row r="181" ht="15.75" customHeight="1">
      <c r="A181" s="198"/>
      <c r="B181" s="198"/>
      <c r="C181" s="198"/>
      <c r="D181" s="198"/>
      <c r="E181" s="198"/>
      <c r="F181" s="198"/>
      <c r="G181" s="199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9"/>
      <c r="AA181" s="198"/>
      <c r="AB181" s="198"/>
      <c r="AC181" s="198"/>
      <c r="AD181" s="198"/>
      <c r="AE181" s="198"/>
      <c r="AF181" s="198"/>
      <c r="AG181" s="198"/>
      <c r="AH181" s="198"/>
      <c r="AI181" s="198"/>
      <c r="AJ181" s="198"/>
      <c r="AK181" s="198"/>
      <c r="AL181" s="198"/>
    </row>
    <row r="182" ht="15.75" customHeight="1">
      <c r="A182" s="198"/>
      <c r="B182" s="198"/>
      <c r="C182" s="198"/>
      <c r="D182" s="198"/>
      <c r="E182" s="198"/>
      <c r="F182" s="198"/>
      <c r="G182" s="199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9"/>
      <c r="AA182" s="198"/>
      <c r="AB182" s="198"/>
      <c r="AC182" s="198"/>
      <c r="AD182" s="198"/>
      <c r="AE182" s="198"/>
      <c r="AF182" s="198"/>
      <c r="AG182" s="198"/>
      <c r="AH182" s="198"/>
      <c r="AI182" s="198"/>
      <c r="AJ182" s="198"/>
      <c r="AK182" s="198"/>
      <c r="AL182" s="198"/>
    </row>
    <row r="183" ht="15.75" customHeight="1">
      <c r="A183" s="198"/>
      <c r="B183" s="198"/>
      <c r="C183" s="198"/>
      <c r="D183" s="198"/>
      <c r="E183" s="198"/>
      <c r="F183" s="198"/>
      <c r="G183" s="199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9"/>
      <c r="AA183" s="198"/>
      <c r="AB183" s="198"/>
      <c r="AC183" s="198"/>
      <c r="AD183" s="198"/>
      <c r="AE183" s="198"/>
      <c r="AF183" s="198"/>
      <c r="AG183" s="198"/>
      <c r="AH183" s="198"/>
      <c r="AI183" s="198"/>
      <c r="AJ183" s="198"/>
      <c r="AK183" s="198"/>
      <c r="AL183" s="198"/>
    </row>
    <row r="184" ht="15.75" customHeight="1">
      <c r="A184" s="198"/>
      <c r="B184" s="198"/>
      <c r="C184" s="198"/>
      <c r="D184" s="198"/>
      <c r="E184" s="198"/>
      <c r="F184" s="198"/>
      <c r="G184" s="199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9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</row>
    <row r="185" ht="15.75" customHeight="1">
      <c r="A185" s="198"/>
      <c r="B185" s="198"/>
      <c r="C185" s="198"/>
      <c r="D185" s="198"/>
      <c r="E185" s="198"/>
      <c r="F185" s="198"/>
      <c r="G185" s="199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9"/>
      <c r="AA185" s="198"/>
      <c r="AB185" s="198"/>
      <c r="AC185" s="198"/>
      <c r="AD185" s="198"/>
      <c r="AE185" s="198"/>
      <c r="AF185" s="198"/>
      <c r="AG185" s="198"/>
      <c r="AH185" s="198"/>
      <c r="AI185" s="198"/>
      <c r="AJ185" s="198"/>
      <c r="AK185" s="198"/>
      <c r="AL185" s="198"/>
    </row>
    <row r="186" ht="15.75" customHeight="1">
      <c r="A186" s="198"/>
      <c r="B186" s="198"/>
      <c r="C186" s="198"/>
      <c r="D186" s="198"/>
      <c r="E186" s="198"/>
      <c r="F186" s="198"/>
      <c r="G186" s="199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9"/>
      <c r="AA186" s="198"/>
      <c r="AB186" s="198"/>
      <c r="AC186" s="198"/>
      <c r="AD186" s="198"/>
      <c r="AE186" s="198"/>
      <c r="AF186" s="198"/>
      <c r="AG186" s="198"/>
      <c r="AH186" s="198"/>
      <c r="AI186" s="198"/>
      <c r="AJ186" s="198"/>
      <c r="AK186" s="198"/>
      <c r="AL186" s="198"/>
    </row>
    <row r="187" ht="15.75" customHeight="1">
      <c r="A187" s="198"/>
      <c r="B187" s="198"/>
      <c r="C187" s="198"/>
      <c r="D187" s="198"/>
      <c r="E187" s="198"/>
      <c r="F187" s="198"/>
      <c r="G187" s="199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9"/>
      <c r="AA187" s="198"/>
      <c r="AB187" s="198"/>
      <c r="AC187" s="198"/>
      <c r="AD187" s="198"/>
      <c r="AE187" s="198"/>
      <c r="AF187" s="198"/>
      <c r="AG187" s="198"/>
      <c r="AH187" s="198"/>
      <c r="AI187" s="198"/>
      <c r="AJ187" s="198"/>
      <c r="AK187" s="198"/>
      <c r="AL187" s="198"/>
    </row>
    <row r="188" ht="15.75" customHeight="1">
      <c r="A188" s="198"/>
      <c r="B188" s="198"/>
      <c r="C188" s="198"/>
      <c r="D188" s="198"/>
      <c r="E188" s="198"/>
      <c r="F188" s="198"/>
      <c r="G188" s="199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9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</row>
    <row r="189" ht="15.75" customHeight="1">
      <c r="A189" s="198"/>
      <c r="B189" s="198"/>
      <c r="C189" s="198"/>
      <c r="D189" s="198"/>
      <c r="E189" s="198"/>
      <c r="F189" s="198"/>
      <c r="G189" s="199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9"/>
      <c r="AA189" s="198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</row>
    <row r="190" ht="15.75" customHeight="1">
      <c r="A190" s="198"/>
      <c r="B190" s="198"/>
      <c r="C190" s="198"/>
      <c r="D190" s="198"/>
      <c r="E190" s="198"/>
      <c r="F190" s="198"/>
      <c r="G190" s="199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9"/>
      <c r="AA190" s="198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</row>
    <row r="191" ht="15.75" customHeight="1">
      <c r="A191" s="198"/>
      <c r="B191" s="198"/>
      <c r="C191" s="198"/>
      <c r="D191" s="198"/>
      <c r="E191" s="198"/>
      <c r="F191" s="198"/>
      <c r="G191" s="199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9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</row>
    <row r="192" ht="15.75" customHeight="1">
      <c r="A192" s="198"/>
      <c r="B192" s="198"/>
      <c r="C192" s="198"/>
      <c r="D192" s="198"/>
      <c r="E192" s="198"/>
      <c r="F192" s="198"/>
      <c r="G192" s="199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9"/>
      <c r="AA192" s="198"/>
      <c r="AB192" s="198"/>
      <c r="AC192" s="198"/>
      <c r="AD192" s="198"/>
      <c r="AE192" s="198"/>
      <c r="AF192" s="198"/>
      <c r="AG192" s="198"/>
      <c r="AH192" s="198"/>
      <c r="AI192" s="198"/>
      <c r="AJ192" s="198"/>
      <c r="AK192" s="198"/>
      <c r="AL192" s="198"/>
    </row>
    <row r="193" ht="15.75" customHeight="1">
      <c r="A193" s="198"/>
      <c r="B193" s="198"/>
      <c r="C193" s="198"/>
      <c r="D193" s="198"/>
      <c r="E193" s="198"/>
      <c r="F193" s="198"/>
      <c r="G193" s="199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9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</row>
    <row r="194" ht="15.75" customHeight="1">
      <c r="A194" s="198"/>
      <c r="B194" s="198"/>
      <c r="C194" s="198"/>
      <c r="D194" s="198"/>
      <c r="E194" s="198"/>
      <c r="F194" s="198"/>
      <c r="G194" s="199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9"/>
      <c r="AA194" s="198"/>
      <c r="AB194" s="198"/>
      <c r="AC194" s="198"/>
      <c r="AD194" s="198"/>
      <c r="AE194" s="198"/>
      <c r="AF194" s="198"/>
      <c r="AG194" s="198"/>
      <c r="AH194" s="198"/>
      <c r="AI194" s="198"/>
      <c r="AJ194" s="198"/>
      <c r="AK194" s="198"/>
      <c r="AL194" s="198"/>
    </row>
    <row r="195" ht="15.75" customHeight="1">
      <c r="A195" s="198"/>
      <c r="B195" s="198"/>
      <c r="C195" s="198"/>
      <c r="D195" s="198"/>
      <c r="E195" s="198"/>
      <c r="F195" s="198"/>
      <c r="G195" s="199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9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</row>
    <row r="196" ht="15.75" customHeight="1">
      <c r="A196" s="198"/>
      <c r="B196" s="198"/>
      <c r="C196" s="198"/>
      <c r="D196" s="198"/>
      <c r="E196" s="198"/>
      <c r="F196" s="198"/>
      <c r="G196" s="199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9"/>
      <c r="AA196" s="198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</row>
    <row r="197" ht="15.75" customHeight="1">
      <c r="A197" s="198"/>
      <c r="B197" s="198"/>
      <c r="C197" s="198"/>
      <c r="D197" s="198"/>
      <c r="E197" s="198"/>
      <c r="F197" s="198"/>
      <c r="G197" s="199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9"/>
      <c r="AA197" s="198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</row>
    <row r="198" ht="15.75" customHeight="1">
      <c r="A198" s="198"/>
      <c r="B198" s="198"/>
      <c r="C198" s="198"/>
      <c r="D198" s="198"/>
      <c r="E198" s="198"/>
      <c r="F198" s="198"/>
      <c r="G198" s="199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9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</row>
    <row r="199" ht="15.75" customHeight="1">
      <c r="A199" s="198"/>
      <c r="B199" s="198"/>
      <c r="C199" s="198"/>
      <c r="D199" s="198"/>
      <c r="E199" s="198"/>
      <c r="F199" s="198"/>
      <c r="G199" s="199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9"/>
      <c r="AA199" s="198"/>
      <c r="AB199" s="198"/>
      <c r="AC199" s="198"/>
      <c r="AD199" s="198"/>
      <c r="AE199" s="198"/>
      <c r="AF199" s="198"/>
      <c r="AG199" s="198"/>
      <c r="AH199" s="198"/>
      <c r="AI199" s="198"/>
      <c r="AJ199" s="198"/>
      <c r="AK199" s="198"/>
      <c r="AL199" s="198"/>
    </row>
    <row r="200" ht="15.75" customHeight="1">
      <c r="A200" s="198"/>
      <c r="B200" s="198"/>
      <c r="C200" s="198"/>
      <c r="D200" s="198"/>
      <c r="E200" s="198"/>
      <c r="F200" s="198"/>
      <c r="G200" s="199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9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</row>
    <row r="201" ht="15.75" customHeight="1">
      <c r="A201" s="198"/>
      <c r="B201" s="198"/>
      <c r="C201" s="198"/>
      <c r="D201" s="198"/>
      <c r="E201" s="198"/>
      <c r="F201" s="198"/>
      <c r="G201" s="199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9"/>
      <c r="AA201" s="198"/>
      <c r="AB201" s="198"/>
      <c r="AC201" s="198"/>
      <c r="AD201" s="198"/>
      <c r="AE201" s="198"/>
      <c r="AF201" s="198"/>
      <c r="AG201" s="198"/>
      <c r="AH201" s="198"/>
      <c r="AI201" s="198"/>
      <c r="AJ201" s="198"/>
      <c r="AK201" s="198"/>
      <c r="AL201" s="198"/>
    </row>
    <row r="202" ht="15.75" customHeight="1">
      <c r="A202" s="198"/>
      <c r="B202" s="198"/>
      <c r="C202" s="198"/>
      <c r="D202" s="198"/>
      <c r="E202" s="198"/>
      <c r="F202" s="198"/>
      <c r="G202" s="199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9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</row>
    <row r="203" ht="15.75" customHeight="1">
      <c r="A203" s="198"/>
      <c r="B203" s="198"/>
      <c r="C203" s="198"/>
      <c r="D203" s="198"/>
      <c r="E203" s="198"/>
      <c r="F203" s="198"/>
      <c r="G203" s="199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9"/>
      <c r="AA203" s="198"/>
      <c r="AB203" s="198"/>
      <c r="AC203" s="198"/>
      <c r="AD203" s="198"/>
      <c r="AE203" s="198"/>
      <c r="AF203" s="198"/>
      <c r="AG203" s="198"/>
      <c r="AH203" s="198"/>
      <c r="AI203" s="198"/>
      <c r="AJ203" s="198"/>
      <c r="AK203" s="198"/>
      <c r="AL203" s="198"/>
    </row>
    <row r="204" ht="15.75" customHeight="1">
      <c r="A204" s="198"/>
      <c r="B204" s="198"/>
      <c r="C204" s="198"/>
      <c r="D204" s="198"/>
      <c r="E204" s="198"/>
      <c r="F204" s="198"/>
      <c r="G204" s="199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9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</row>
    <row r="205" ht="15.75" customHeight="1">
      <c r="A205" s="198"/>
      <c r="B205" s="198"/>
      <c r="C205" s="198"/>
      <c r="D205" s="198"/>
      <c r="E205" s="198"/>
      <c r="F205" s="198"/>
      <c r="G205" s="199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9"/>
      <c r="AA205" s="198"/>
      <c r="AB205" s="198"/>
      <c r="AC205" s="198"/>
      <c r="AD205" s="198"/>
      <c r="AE205" s="198"/>
      <c r="AF205" s="198"/>
      <c r="AG205" s="198"/>
      <c r="AH205" s="198"/>
      <c r="AI205" s="198"/>
      <c r="AJ205" s="198"/>
      <c r="AK205" s="198"/>
      <c r="AL205" s="198"/>
    </row>
    <row r="206" ht="15.75" customHeight="1">
      <c r="A206" s="198"/>
      <c r="B206" s="198"/>
      <c r="C206" s="198"/>
      <c r="D206" s="198"/>
      <c r="E206" s="198"/>
      <c r="F206" s="198"/>
      <c r="G206" s="199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9"/>
      <c r="AA206" s="198"/>
      <c r="AB206" s="198"/>
      <c r="AC206" s="198"/>
      <c r="AD206" s="198"/>
      <c r="AE206" s="198"/>
      <c r="AF206" s="198"/>
      <c r="AG206" s="198"/>
      <c r="AH206" s="198"/>
      <c r="AI206" s="198"/>
      <c r="AJ206" s="198"/>
      <c r="AK206" s="198"/>
      <c r="AL206" s="198"/>
    </row>
    <row r="207" ht="15.75" customHeight="1">
      <c r="A207" s="198"/>
      <c r="B207" s="198"/>
      <c r="C207" s="198"/>
      <c r="D207" s="198"/>
      <c r="E207" s="198"/>
      <c r="F207" s="198"/>
      <c r="G207" s="199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8"/>
      <c r="AB207" s="198"/>
      <c r="AC207" s="198"/>
      <c r="AD207" s="198"/>
      <c r="AE207" s="198"/>
      <c r="AF207" s="198"/>
      <c r="AG207" s="198"/>
      <c r="AH207" s="198"/>
      <c r="AI207" s="198"/>
      <c r="AJ207" s="198"/>
      <c r="AK207" s="198"/>
      <c r="AL207" s="198"/>
    </row>
    <row r="208" ht="15.75" customHeight="1">
      <c r="A208" s="198"/>
      <c r="B208" s="198"/>
      <c r="C208" s="198"/>
      <c r="D208" s="198"/>
      <c r="E208" s="198"/>
      <c r="F208" s="198"/>
      <c r="G208" s="199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9"/>
      <c r="AA208" s="198"/>
      <c r="AB208" s="198"/>
      <c r="AC208" s="198"/>
      <c r="AD208" s="198"/>
      <c r="AE208" s="198"/>
      <c r="AF208" s="198"/>
      <c r="AG208" s="198"/>
      <c r="AH208" s="198"/>
      <c r="AI208" s="198"/>
      <c r="AJ208" s="198"/>
      <c r="AK208" s="198"/>
      <c r="AL208" s="198"/>
    </row>
    <row r="209" ht="15.75" customHeight="1">
      <c r="A209" s="198"/>
      <c r="B209" s="198"/>
      <c r="C209" s="198"/>
      <c r="D209" s="198"/>
      <c r="E209" s="198"/>
      <c r="F209" s="198"/>
      <c r="G209" s="199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9"/>
      <c r="AA209" s="198"/>
      <c r="AB209" s="198"/>
      <c r="AC209" s="198"/>
      <c r="AD209" s="198"/>
      <c r="AE209" s="198"/>
      <c r="AF209" s="198"/>
      <c r="AG209" s="198"/>
      <c r="AH209" s="198"/>
      <c r="AI209" s="198"/>
      <c r="AJ209" s="198"/>
      <c r="AK209" s="198"/>
      <c r="AL209" s="198"/>
    </row>
    <row r="210" ht="15.75" customHeight="1">
      <c r="A210" s="198"/>
      <c r="B210" s="198"/>
      <c r="C210" s="198"/>
      <c r="D210" s="198"/>
      <c r="E210" s="198"/>
      <c r="F210" s="198"/>
      <c r="G210" s="199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8"/>
      <c r="AB210" s="198"/>
      <c r="AC210" s="198"/>
      <c r="AD210" s="198"/>
      <c r="AE210" s="198"/>
      <c r="AF210" s="198"/>
      <c r="AG210" s="198"/>
      <c r="AH210" s="198"/>
      <c r="AI210" s="198"/>
      <c r="AJ210" s="198"/>
      <c r="AK210" s="198"/>
      <c r="AL210" s="198"/>
    </row>
    <row r="211" ht="15.75" customHeight="1">
      <c r="A211" s="198"/>
      <c r="B211" s="198"/>
      <c r="C211" s="198"/>
      <c r="D211" s="198"/>
      <c r="E211" s="198"/>
      <c r="F211" s="198"/>
      <c r="G211" s="199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8"/>
      <c r="AB211" s="198"/>
      <c r="AC211" s="198"/>
      <c r="AD211" s="198"/>
      <c r="AE211" s="198"/>
      <c r="AF211" s="198"/>
      <c r="AG211" s="198"/>
      <c r="AH211" s="198"/>
      <c r="AI211" s="198"/>
      <c r="AJ211" s="198"/>
      <c r="AK211" s="198"/>
      <c r="AL211" s="198"/>
    </row>
    <row r="212" ht="15.75" customHeight="1">
      <c r="A212" s="198"/>
      <c r="B212" s="198"/>
      <c r="C212" s="198"/>
      <c r="D212" s="198"/>
      <c r="E212" s="198"/>
      <c r="F212" s="198"/>
      <c r="G212" s="199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9"/>
      <c r="AA212" s="198"/>
      <c r="AB212" s="198"/>
      <c r="AC212" s="198"/>
      <c r="AD212" s="198"/>
      <c r="AE212" s="198"/>
      <c r="AF212" s="198"/>
      <c r="AG212" s="198"/>
      <c r="AH212" s="198"/>
      <c r="AI212" s="198"/>
      <c r="AJ212" s="198"/>
      <c r="AK212" s="198"/>
      <c r="AL212" s="198"/>
    </row>
    <row r="213" ht="15.75" customHeight="1">
      <c r="A213" s="198"/>
      <c r="B213" s="198"/>
      <c r="C213" s="198"/>
      <c r="D213" s="198"/>
      <c r="E213" s="198"/>
      <c r="F213" s="198"/>
      <c r="G213" s="199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9"/>
      <c r="AA213" s="198"/>
      <c r="AB213" s="198"/>
      <c r="AC213" s="198"/>
      <c r="AD213" s="198"/>
      <c r="AE213" s="198"/>
      <c r="AF213" s="198"/>
      <c r="AG213" s="198"/>
      <c r="AH213" s="198"/>
      <c r="AI213" s="198"/>
      <c r="AJ213" s="198"/>
      <c r="AK213" s="198"/>
      <c r="AL213" s="198"/>
    </row>
    <row r="214" ht="15.75" customHeight="1">
      <c r="A214" s="198"/>
      <c r="B214" s="198"/>
      <c r="C214" s="198"/>
      <c r="D214" s="198"/>
      <c r="E214" s="198"/>
      <c r="F214" s="198"/>
      <c r="G214" s="199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8"/>
      <c r="AB214" s="198"/>
      <c r="AC214" s="198"/>
      <c r="AD214" s="198"/>
      <c r="AE214" s="198"/>
      <c r="AF214" s="198"/>
      <c r="AG214" s="198"/>
      <c r="AH214" s="198"/>
      <c r="AI214" s="198"/>
      <c r="AJ214" s="198"/>
      <c r="AK214" s="198"/>
      <c r="AL214" s="198"/>
    </row>
    <row r="215" ht="15.75" customHeight="1">
      <c r="A215" s="198"/>
      <c r="B215" s="198"/>
      <c r="C215" s="198"/>
      <c r="D215" s="198"/>
      <c r="E215" s="198"/>
      <c r="F215" s="198"/>
      <c r="G215" s="199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9"/>
      <c r="AA215" s="198"/>
      <c r="AB215" s="198"/>
      <c r="AC215" s="198"/>
      <c r="AD215" s="198"/>
      <c r="AE215" s="198"/>
      <c r="AF215" s="198"/>
      <c r="AG215" s="198"/>
      <c r="AH215" s="198"/>
      <c r="AI215" s="198"/>
      <c r="AJ215" s="198"/>
      <c r="AK215" s="198"/>
      <c r="AL215" s="198"/>
    </row>
    <row r="216" ht="15.75" customHeight="1">
      <c r="A216" s="198"/>
      <c r="B216" s="198"/>
      <c r="C216" s="198"/>
      <c r="D216" s="198"/>
      <c r="E216" s="198"/>
      <c r="F216" s="198"/>
      <c r="G216" s="199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9"/>
      <c r="AA216" s="198"/>
      <c r="AB216" s="198"/>
      <c r="AC216" s="198"/>
      <c r="AD216" s="198"/>
      <c r="AE216" s="198"/>
      <c r="AF216" s="198"/>
      <c r="AG216" s="198"/>
      <c r="AH216" s="198"/>
      <c r="AI216" s="198"/>
      <c r="AJ216" s="198"/>
      <c r="AK216" s="198"/>
      <c r="AL216" s="198"/>
    </row>
    <row r="217" ht="15.75" customHeight="1">
      <c r="A217" s="198"/>
      <c r="B217" s="198"/>
      <c r="C217" s="198"/>
      <c r="D217" s="198"/>
      <c r="E217" s="198"/>
      <c r="F217" s="198"/>
      <c r="G217" s="199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9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</row>
    <row r="218" ht="15.75" customHeight="1">
      <c r="A218" s="198"/>
      <c r="B218" s="198"/>
      <c r="C218" s="198"/>
      <c r="D218" s="198"/>
      <c r="E218" s="198"/>
      <c r="F218" s="198"/>
      <c r="G218" s="199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9"/>
      <c r="AA218" s="198"/>
      <c r="AB218" s="198"/>
      <c r="AC218" s="198"/>
      <c r="AD218" s="198"/>
      <c r="AE218" s="198"/>
      <c r="AF218" s="198"/>
      <c r="AG218" s="198"/>
      <c r="AH218" s="198"/>
      <c r="AI218" s="198"/>
      <c r="AJ218" s="198"/>
      <c r="AK218" s="198"/>
      <c r="AL218" s="198"/>
    </row>
    <row r="219" ht="15.75" customHeight="1">
      <c r="A219" s="198"/>
      <c r="B219" s="198"/>
      <c r="C219" s="198"/>
      <c r="D219" s="198"/>
      <c r="E219" s="198"/>
      <c r="F219" s="198"/>
      <c r="G219" s="199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9"/>
      <c r="AA219" s="198"/>
      <c r="AB219" s="198"/>
      <c r="AC219" s="198"/>
      <c r="AD219" s="198"/>
      <c r="AE219" s="198"/>
      <c r="AF219" s="198"/>
      <c r="AG219" s="198"/>
      <c r="AH219" s="198"/>
      <c r="AI219" s="198"/>
      <c r="AJ219" s="198"/>
      <c r="AK219" s="198"/>
      <c r="AL219" s="198"/>
    </row>
    <row r="220" ht="15.75" customHeight="1">
      <c r="A220" s="198"/>
      <c r="B220" s="198"/>
      <c r="C220" s="198"/>
      <c r="D220" s="198"/>
      <c r="E220" s="198"/>
      <c r="F220" s="198"/>
      <c r="G220" s="199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9"/>
      <c r="AA220" s="198"/>
      <c r="AB220" s="198"/>
      <c r="AC220" s="198"/>
      <c r="AD220" s="198"/>
      <c r="AE220" s="198"/>
      <c r="AF220" s="198"/>
      <c r="AG220" s="198"/>
      <c r="AH220" s="198"/>
      <c r="AI220" s="198"/>
      <c r="AJ220" s="198"/>
      <c r="AK220" s="198"/>
      <c r="AL220" s="198"/>
    </row>
    <row r="221" ht="15.75" customHeight="1">
      <c r="A221" s="198"/>
      <c r="B221" s="198"/>
      <c r="C221" s="198"/>
      <c r="D221" s="198"/>
      <c r="E221" s="198"/>
      <c r="F221" s="198"/>
      <c r="G221" s="199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9"/>
      <c r="AA221" s="198"/>
      <c r="AB221" s="198"/>
      <c r="AC221" s="198"/>
      <c r="AD221" s="198"/>
      <c r="AE221" s="198"/>
      <c r="AF221" s="198"/>
      <c r="AG221" s="198"/>
      <c r="AH221" s="198"/>
      <c r="AI221" s="198"/>
      <c r="AJ221" s="198"/>
      <c r="AK221" s="198"/>
      <c r="AL221" s="198"/>
    </row>
    <row r="222" ht="15.75" customHeight="1">
      <c r="A222" s="198"/>
      <c r="B222" s="198"/>
      <c r="C222" s="198"/>
      <c r="D222" s="198"/>
      <c r="E222" s="198"/>
      <c r="F222" s="198"/>
      <c r="G222" s="199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9"/>
      <c r="AA222" s="198"/>
      <c r="AB222" s="198"/>
      <c r="AC222" s="198"/>
      <c r="AD222" s="198"/>
      <c r="AE222" s="198"/>
      <c r="AF222" s="198"/>
      <c r="AG222" s="198"/>
      <c r="AH222" s="198"/>
      <c r="AI222" s="198"/>
      <c r="AJ222" s="198"/>
      <c r="AK222" s="198"/>
      <c r="AL222" s="198"/>
    </row>
    <row r="223" ht="15.75" customHeight="1">
      <c r="A223" s="198"/>
      <c r="B223" s="198"/>
      <c r="C223" s="198"/>
      <c r="D223" s="198"/>
      <c r="E223" s="198"/>
      <c r="F223" s="198"/>
      <c r="G223" s="199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9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</row>
    <row r="224" ht="15.75" customHeight="1">
      <c r="A224" s="198"/>
      <c r="B224" s="198"/>
      <c r="C224" s="198"/>
      <c r="D224" s="198"/>
      <c r="E224" s="198"/>
      <c r="F224" s="198"/>
      <c r="G224" s="199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9"/>
      <c r="AA224" s="198"/>
      <c r="AB224" s="198"/>
      <c r="AC224" s="198"/>
      <c r="AD224" s="198"/>
      <c r="AE224" s="198"/>
      <c r="AF224" s="198"/>
      <c r="AG224" s="198"/>
      <c r="AH224" s="198"/>
      <c r="AI224" s="198"/>
      <c r="AJ224" s="198"/>
      <c r="AK224" s="198"/>
      <c r="AL224" s="198"/>
    </row>
    <row r="225" ht="15.75" customHeight="1">
      <c r="A225" s="198"/>
      <c r="B225" s="198"/>
      <c r="C225" s="198"/>
      <c r="D225" s="198"/>
      <c r="E225" s="198"/>
      <c r="F225" s="198"/>
      <c r="G225" s="199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9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</row>
    <row r="226" ht="15.75" customHeight="1">
      <c r="A226" s="198"/>
      <c r="B226" s="198"/>
      <c r="C226" s="198"/>
      <c r="D226" s="198"/>
      <c r="E226" s="198"/>
      <c r="F226" s="198"/>
      <c r="G226" s="199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9"/>
      <c r="AA226" s="198"/>
      <c r="AB226" s="198"/>
      <c r="AC226" s="198"/>
      <c r="AD226" s="198"/>
      <c r="AE226" s="198"/>
      <c r="AF226" s="198"/>
      <c r="AG226" s="198"/>
      <c r="AH226" s="198"/>
      <c r="AI226" s="198"/>
      <c r="AJ226" s="198"/>
      <c r="AK226" s="198"/>
      <c r="AL226" s="198"/>
    </row>
    <row r="227" ht="15.75" customHeight="1">
      <c r="A227" s="198"/>
      <c r="B227" s="198"/>
      <c r="C227" s="198"/>
      <c r="D227" s="198"/>
      <c r="E227" s="198"/>
      <c r="F227" s="198"/>
      <c r="G227" s="199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9"/>
      <c r="AA227" s="198"/>
      <c r="AB227" s="198"/>
      <c r="AC227" s="198"/>
      <c r="AD227" s="198"/>
      <c r="AE227" s="198"/>
      <c r="AF227" s="198"/>
      <c r="AG227" s="198"/>
      <c r="AH227" s="198"/>
      <c r="AI227" s="198"/>
      <c r="AJ227" s="198"/>
      <c r="AK227" s="198"/>
      <c r="AL227" s="198"/>
    </row>
    <row r="228" ht="15.75" customHeight="1">
      <c r="A228" s="198"/>
      <c r="B228" s="198"/>
      <c r="C228" s="198"/>
      <c r="D228" s="198"/>
      <c r="E228" s="198"/>
      <c r="F228" s="198"/>
      <c r="G228" s="199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9"/>
      <c r="AA228" s="198"/>
      <c r="AB228" s="198"/>
      <c r="AC228" s="198"/>
      <c r="AD228" s="198"/>
      <c r="AE228" s="198"/>
      <c r="AF228" s="198"/>
      <c r="AG228" s="198"/>
      <c r="AH228" s="198"/>
      <c r="AI228" s="198"/>
      <c r="AJ228" s="198"/>
      <c r="AK228" s="198"/>
      <c r="AL228" s="198"/>
    </row>
    <row r="229" ht="15.75" customHeight="1">
      <c r="A229" s="198"/>
      <c r="B229" s="198"/>
      <c r="C229" s="198"/>
      <c r="D229" s="198"/>
      <c r="E229" s="198"/>
      <c r="F229" s="198"/>
      <c r="G229" s="199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9"/>
      <c r="AA229" s="198"/>
      <c r="AB229" s="198"/>
      <c r="AC229" s="198"/>
      <c r="AD229" s="198"/>
      <c r="AE229" s="198"/>
      <c r="AF229" s="198"/>
      <c r="AG229" s="198"/>
      <c r="AH229" s="198"/>
      <c r="AI229" s="198"/>
      <c r="AJ229" s="198"/>
      <c r="AK229" s="198"/>
      <c r="AL229" s="198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24">
    <mergeCell ref="N2:R2"/>
    <mergeCell ref="M4:R4"/>
    <mergeCell ref="M5:R5"/>
    <mergeCell ref="A1:B1"/>
    <mergeCell ref="C1:D1"/>
    <mergeCell ref="E1:M1"/>
    <mergeCell ref="N1:R1"/>
    <mergeCell ref="C2:D2"/>
    <mergeCell ref="E2:M2"/>
    <mergeCell ref="C3:R3"/>
    <mergeCell ref="C5:D5"/>
    <mergeCell ref="E5:I5"/>
    <mergeCell ref="B21:D21"/>
    <mergeCell ref="B26:D26"/>
    <mergeCell ref="B27:D27"/>
    <mergeCell ref="B28:D28"/>
    <mergeCell ref="B29:D29"/>
    <mergeCell ref="A2:B2"/>
    <mergeCell ref="A3:B3"/>
    <mergeCell ref="A4:B4"/>
    <mergeCell ref="C4:D4"/>
    <mergeCell ref="E4:I4"/>
    <mergeCell ref="J4:L4"/>
    <mergeCell ref="A5:B5"/>
  </mergeCells>
  <dataValidations>
    <dataValidation type="list" allowBlank="1" showInputMessage="1" showErrorMessage="1" prompt=" - " sqref="E27:R27">
      <formula1>"P,F"</formula1>
    </dataValidation>
    <dataValidation type="list" allowBlank="1" showInputMessage="1" showErrorMessage="1" prompt=" - " sqref="E8:R25">
      <formula1>"O"</formula1>
    </dataValidation>
    <dataValidation type="list" allowBlank="1" showInputMessage="1" showErrorMessage="1" prompt=" - " sqref="E26:R26">
      <formula1>"N,A,B"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8.38"/>
    <col customWidth="1" min="4" max="4" width="22.88"/>
    <col customWidth="1" min="5" max="25" width="4.88"/>
  </cols>
  <sheetData>
    <row r="1">
      <c r="A1" s="159" t="s">
        <v>195</v>
      </c>
      <c r="B1" s="160"/>
      <c r="C1" s="161" t="s">
        <v>331</v>
      </c>
      <c r="D1" s="162"/>
      <c r="E1" s="163" t="s">
        <v>197</v>
      </c>
      <c r="F1" s="160"/>
      <c r="G1" s="160"/>
      <c r="H1" s="160"/>
      <c r="I1" s="160"/>
      <c r="J1" s="160"/>
      <c r="K1" s="160"/>
      <c r="L1" s="160"/>
      <c r="M1" s="160"/>
      <c r="N1" s="164" t="s">
        <v>198</v>
      </c>
      <c r="O1" s="160"/>
      <c r="P1" s="160"/>
      <c r="Q1" s="160"/>
      <c r="R1" s="165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</row>
    <row r="2">
      <c r="A2" s="168" t="s">
        <v>199</v>
      </c>
      <c r="B2" s="169"/>
      <c r="C2" s="170" t="s">
        <v>159</v>
      </c>
      <c r="D2" s="169"/>
      <c r="E2" s="171" t="s">
        <v>200</v>
      </c>
      <c r="F2" s="172"/>
      <c r="G2" s="172"/>
      <c r="H2" s="172"/>
      <c r="I2" s="172"/>
      <c r="J2" s="172"/>
      <c r="K2" s="172"/>
      <c r="L2" s="172"/>
      <c r="M2" s="173"/>
      <c r="N2" s="174" t="s">
        <v>159</v>
      </c>
      <c r="O2" s="172"/>
      <c r="P2" s="172"/>
      <c r="Q2" s="172"/>
      <c r="R2" s="175"/>
      <c r="S2" s="178"/>
      <c r="T2" s="178"/>
      <c r="U2" s="178"/>
      <c r="V2" s="178"/>
      <c r="W2" s="178"/>
      <c r="X2" s="178"/>
      <c r="Y2" s="178"/>
      <c r="Z2" s="260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</row>
    <row r="3">
      <c r="A3" s="179" t="s">
        <v>201</v>
      </c>
      <c r="B3" s="17"/>
      <c r="C3" s="180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81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</row>
    <row r="4">
      <c r="A4" s="183" t="s">
        <v>164</v>
      </c>
      <c r="B4" s="17"/>
      <c r="C4" s="184" t="s">
        <v>165</v>
      </c>
      <c r="D4" s="17"/>
      <c r="E4" s="184" t="s">
        <v>166</v>
      </c>
      <c r="F4" s="16"/>
      <c r="G4" s="16"/>
      <c r="H4" s="16"/>
      <c r="I4" s="16"/>
      <c r="J4" s="185" t="s">
        <v>202</v>
      </c>
      <c r="K4" s="16"/>
      <c r="L4" s="16"/>
      <c r="M4" s="184" t="s">
        <v>169</v>
      </c>
      <c r="N4" s="16"/>
      <c r="O4" s="16"/>
      <c r="P4" s="16"/>
      <c r="Q4" s="16"/>
      <c r="R4" s="181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</row>
    <row r="5">
      <c r="A5" s="188">
        <f>COUNTIF(E30:IE30,"P")</f>
        <v>14</v>
      </c>
      <c r="B5" s="189"/>
      <c r="C5" s="190">
        <f>COUNTIF(E30:IE30,"F")</f>
        <v>0</v>
      </c>
      <c r="D5" s="189"/>
      <c r="E5" s="191">
        <f>SUM(M5,-A5,-C5)</f>
        <v>0</v>
      </c>
      <c r="F5" s="192"/>
      <c r="G5" s="192"/>
      <c r="H5" s="192"/>
      <c r="I5" s="192"/>
      <c r="J5" s="193">
        <f>COUNTIF(A29:IA29,"N")</f>
        <v>2</v>
      </c>
      <c r="K5" s="193">
        <f>COUNTIF(B29:IB29,"A")</f>
        <v>10</v>
      </c>
      <c r="L5" s="193">
        <f>COUNTIF(C29:IC29,"B")</f>
        <v>2</v>
      </c>
      <c r="M5" s="190">
        <f>COUNTA(A7:HS7)</f>
        <v>14</v>
      </c>
      <c r="N5" s="192"/>
      <c r="O5" s="192"/>
      <c r="P5" s="192"/>
      <c r="Q5" s="192"/>
      <c r="R5" s="194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</row>
    <row r="6">
      <c r="A6" s="198"/>
      <c r="B6" s="198"/>
      <c r="C6" s="198"/>
      <c r="D6" s="198"/>
      <c r="E6" s="198"/>
      <c r="F6" s="198"/>
      <c r="G6" s="199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9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</row>
    <row r="7" ht="48.0" customHeight="1">
      <c r="A7" s="200"/>
      <c r="B7" s="201"/>
      <c r="C7" s="201"/>
      <c r="D7" s="201"/>
      <c r="E7" s="202" t="s">
        <v>203</v>
      </c>
      <c r="F7" s="202" t="s">
        <v>204</v>
      </c>
      <c r="G7" s="202" t="s">
        <v>205</v>
      </c>
      <c r="H7" s="202" t="s">
        <v>206</v>
      </c>
      <c r="I7" s="202" t="s">
        <v>207</v>
      </c>
      <c r="J7" s="202" t="s">
        <v>208</v>
      </c>
      <c r="K7" s="202" t="s">
        <v>209</v>
      </c>
      <c r="L7" s="202" t="s">
        <v>210</v>
      </c>
      <c r="M7" s="202" t="s">
        <v>211</v>
      </c>
      <c r="N7" s="202" t="s">
        <v>212</v>
      </c>
      <c r="O7" s="202" t="s">
        <v>213</v>
      </c>
      <c r="P7" s="202" t="s">
        <v>214</v>
      </c>
      <c r="Q7" s="202" t="s">
        <v>215</v>
      </c>
      <c r="R7" s="202" t="s">
        <v>216</v>
      </c>
      <c r="S7" s="198"/>
      <c r="T7" s="198"/>
      <c r="U7" s="198"/>
      <c r="V7" s="198"/>
      <c r="W7" s="198"/>
      <c r="X7" s="198"/>
      <c r="Y7" s="198"/>
      <c r="Z7" s="199"/>
      <c r="AA7" s="199"/>
      <c r="AB7" s="199"/>
      <c r="AC7" s="198"/>
      <c r="AD7" s="198"/>
      <c r="AE7" s="198"/>
      <c r="AF7" s="203"/>
      <c r="AG7" s="203"/>
      <c r="AH7" s="203"/>
      <c r="AI7" s="203"/>
      <c r="AJ7" s="203"/>
      <c r="AK7" s="203"/>
      <c r="AL7" s="203"/>
    </row>
    <row r="8">
      <c r="A8" s="204" t="s">
        <v>219</v>
      </c>
      <c r="B8" s="205" t="s">
        <v>220</v>
      </c>
      <c r="C8" s="262"/>
      <c r="D8" s="263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198"/>
      <c r="T8" s="198"/>
      <c r="U8" s="198"/>
      <c r="V8" s="198"/>
      <c r="W8" s="198"/>
      <c r="X8" s="198"/>
      <c r="Y8" s="198"/>
      <c r="Z8" s="199"/>
      <c r="AA8" s="199"/>
      <c r="AB8" s="199"/>
      <c r="AC8" s="199"/>
      <c r="AD8" s="199"/>
      <c r="AE8" s="199"/>
      <c r="AF8" s="265"/>
      <c r="AG8" s="265"/>
      <c r="AH8" s="265"/>
      <c r="AI8" s="265"/>
      <c r="AJ8" s="265"/>
      <c r="AK8" s="265"/>
      <c r="AL8" s="265"/>
    </row>
    <row r="9">
      <c r="A9" s="266"/>
      <c r="B9" s="267"/>
      <c r="C9" s="268"/>
      <c r="D9" s="213" t="s">
        <v>221</v>
      </c>
      <c r="E9" s="214" t="s">
        <v>222</v>
      </c>
      <c r="F9" s="214" t="s">
        <v>222</v>
      </c>
      <c r="G9" s="214" t="s">
        <v>222</v>
      </c>
      <c r="H9" s="214" t="s">
        <v>222</v>
      </c>
      <c r="I9" s="214" t="s">
        <v>222</v>
      </c>
      <c r="J9" s="233" t="s">
        <v>222</v>
      </c>
      <c r="K9" s="214"/>
      <c r="L9" s="214"/>
      <c r="M9" s="214"/>
      <c r="N9" s="214"/>
      <c r="O9" s="214"/>
      <c r="P9" s="214"/>
      <c r="Q9" s="214"/>
      <c r="R9" s="214"/>
      <c r="S9" s="198"/>
      <c r="T9" s="198"/>
      <c r="U9" s="198"/>
      <c r="V9" s="198"/>
      <c r="W9" s="198"/>
      <c r="X9" s="198"/>
      <c r="Y9" s="198"/>
      <c r="Z9" s="199"/>
      <c r="AA9" s="199"/>
      <c r="AB9" s="199"/>
      <c r="AC9" s="199"/>
      <c r="AD9" s="199"/>
      <c r="AE9" s="199"/>
      <c r="AF9" s="265"/>
      <c r="AG9" s="265"/>
      <c r="AH9" s="265"/>
      <c r="AI9" s="265"/>
      <c r="AJ9" s="265"/>
      <c r="AK9" s="265"/>
      <c r="AL9" s="265"/>
    </row>
    <row r="10">
      <c r="A10" s="266"/>
      <c r="B10" s="215" t="s">
        <v>314</v>
      </c>
      <c r="C10" s="268"/>
      <c r="D10" s="303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198"/>
      <c r="T10" s="198"/>
      <c r="U10" s="198"/>
      <c r="V10" s="198"/>
      <c r="W10" s="198"/>
      <c r="X10" s="198"/>
      <c r="Y10" s="198"/>
      <c r="Z10" s="199"/>
      <c r="AA10" s="199"/>
      <c r="AB10" s="199"/>
      <c r="AC10" s="199"/>
      <c r="AD10" s="199"/>
      <c r="AE10" s="199"/>
      <c r="AF10" s="265"/>
      <c r="AG10" s="265"/>
      <c r="AH10" s="265"/>
      <c r="AI10" s="265"/>
      <c r="AJ10" s="265"/>
      <c r="AK10" s="265"/>
      <c r="AL10" s="265"/>
    </row>
    <row r="11">
      <c r="A11" s="266"/>
      <c r="B11" s="304"/>
      <c r="C11" s="305" t="s">
        <v>310</v>
      </c>
      <c r="D11" s="218">
        <v>1.0</v>
      </c>
      <c r="E11" s="209" t="s">
        <v>222</v>
      </c>
      <c r="F11" s="330" t="s">
        <v>222</v>
      </c>
      <c r="G11" s="330" t="s">
        <v>222</v>
      </c>
      <c r="H11" s="209"/>
      <c r="I11" s="209"/>
      <c r="J11" s="209"/>
      <c r="K11" s="209"/>
      <c r="L11" s="209"/>
      <c r="M11" s="209"/>
      <c r="N11" s="209"/>
      <c r="O11" s="209"/>
      <c r="P11" s="209"/>
      <c r="Q11" s="214"/>
      <c r="R11" s="214"/>
      <c r="S11" s="198"/>
      <c r="T11" s="198"/>
      <c r="U11" s="198"/>
      <c r="V11" s="198"/>
      <c r="W11" s="198"/>
      <c r="X11" s="198"/>
      <c r="Y11" s="198"/>
      <c r="Z11" s="199"/>
      <c r="AA11" s="199"/>
      <c r="AB11" s="199"/>
      <c r="AC11" s="199"/>
      <c r="AD11" s="199"/>
      <c r="AE11" s="199"/>
      <c r="AF11" s="265"/>
      <c r="AG11" s="265"/>
      <c r="AH11" s="265"/>
      <c r="AI11" s="265"/>
      <c r="AJ11" s="265"/>
      <c r="AK11" s="265"/>
      <c r="AL11" s="265"/>
    </row>
    <row r="12">
      <c r="A12" s="266"/>
      <c r="B12" s="221"/>
      <c r="C12" s="305" t="s">
        <v>333</v>
      </c>
      <c r="D12" s="218">
        <v>999.0</v>
      </c>
      <c r="E12" s="209"/>
      <c r="F12" s="330"/>
      <c r="G12" s="209"/>
      <c r="H12" s="330" t="s">
        <v>222</v>
      </c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198"/>
      <c r="T12" s="198"/>
      <c r="U12" s="198"/>
      <c r="V12" s="198"/>
      <c r="W12" s="198"/>
      <c r="X12" s="198"/>
      <c r="Y12" s="198"/>
      <c r="Z12" s="199"/>
      <c r="AA12" s="199"/>
      <c r="AB12" s="199"/>
      <c r="AC12" s="199"/>
      <c r="AD12" s="199"/>
      <c r="AE12" s="199"/>
      <c r="AF12" s="265"/>
      <c r="AG12" s="265"/>
      <c r="AH12" s="265"/>
      <c r="AI12" s="265"/>
      <c r="AJ12" s="265"/>
      <c r="AK12" s="265"/>
      <c r="AL12" s="265"/>
    </row>
    <row r="13">
      <c r="A13" s="266"/>
      <c r="B13" s="221"/>
      <c r="C13" s="305" t="s">
        <v>334</v>
      </c>
      <c r="D13" s="218" t="s">
        <v>262</v>
      </c>
      <c r="E13" s="209"/>
      <c r="F13" s="209"/>
      <c r="G13" s="209"/>
      <c r="H13" s="330"/>
      <c r="I13" s="330" t="s">
        <v>222</v>
      </c>
      <c r="J13" s="209"/>
      <c r="K13" s="209"/>
      <c r="L13" s="209"/>
      <c r="M13" s="209"/>
      <c r="N13" s="209"/>
      <c r="O13" s="209"/>
      <c r="P13" s="209"/>
      <c r="Q13" s="209"/>
      <c r="R13" s="209"/>
      <c r="S13" s="198"/>
      <c r="T13" s="198"/>
      <c r="U13" s="198"/>
      <c r="V13" s="198"/>
      <c r="W13" s="198"/>
      <c r="X13" s="198"/>
      <c r="Y13" s="198"/>
      <c r="Z13" s="199"/>
      <c r="AA13" s="199"/>
      <c r="AB13" s="199"/>
      <c r="AC13" s="199"/>
      <c r="AD13" s="199"/>
      <c r="AE13" s="199"/>
      <c r="AF13" s="265"/>
      <c r="AG13" s="265"/>
      <c r="AH13" s="265"/>
      <c r="AI13" s="265"/>
      <c r="AJ13" s="265"/>
      <c r="AK13" s="265"/>
      <c r="AL13" s="265"/>
    </row>
    <row r="14">
      <c r="A14" s="266"/>
      <c r="B14" s="221"/>
      <c r="C14" s="217" t="s">
        <v>335</v>
      </c>
      <c r="D14" s="218" t="s">
        <v>297</v>
      </c>
      <c r="E14" s="209"/>
      <c r="F14" s="209"/>
      <c r="G14" s="209"/>
      <c r="H14" s="209"/>
      <c r="I14" s="330"/>
      <c r="J14" s="330" t="s">
        <v>222</v>
      </c>
      <c r="K14" s="209"/>
      <c r="L14" s="209"/>
      <c r="M14" s="209"/>
      <c r="N14" s="209"/>
      <c r="O14" s="209"/>
      <c r="P14" s="209"/>
      <c r="Q14" s="209"/>
      <c r="R14" s="209"/>
      <c r="S14" s="198"/>
      <c r="T14" s="198"/>
      <c r="U14" s="198"/>
      <c r="V14" s="198"/>
      <c r="W14" s="198"/>
      <c r="X14" s="198"/>
      <c r="Y14" s="198"/>
      <c r="Z14" s="199"/>
      <c r="AA14" s="199"/>
      <c r="AB14" s="199"/>
      <c r="AC14" s="199"/>
      <c r="AD14" s="199"/>
      <c r="AE14" s="199"/>
      <c r="AF14" s="265"/>
      <c r="AG14" s="265"/>
      <c r="AH14" s="265"/>
      <c r="AI14" s="265"/>
      <c r="AJ14" s="265"/>
      <c r="AK14" s="265"/>
      <c r="AL14" s="265"/>
    </row>
    <row r="15">
      <c r="A15" s="266"/>
      <c r="B15" s="215" t="s">
        <v>338</v>
      </c>
      <c r="C15" s="268"/>
      <c r="D15" s="303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198"/>
      <c r="T15" s="198"/>
      <c r="U15" s="198"/>
      <c r="V15" s="198"/>
      <c r="W15" s="198"/>
      <c r="X15" s="198"/>
      <c r="Y15" s="198"/>
      <c r="Z15" s="199"/>
      <c r="AA15" s="199"/>
      <c r="AB15" s="199"/>
      <c r="AC15" s="199"/>
      <c r="AD15" s="199"/>
      <c r="AE15" s="199"/>
      <c r="AF15" s="265"/>
      <c r="AG15" s="265"/>
      <c r="AH15" s="265"/>
      <c r="AI15" s="265"/>
      <c r="AJ15" s="265"/>
      <c r="AK15" s="265"/>
      <c r="AL15" s="265"/>
    </row>
    <row r="16">
      <c r="A16" s="266"/>
      <c r="B16" s="304"/>
      <c r="C16" s="305" t="s">
        <v>262</v>
      </c>
      <c r="D16" s="218">
        <v>1.0</v>
      </c>
      <c r="E16" s="209" t="s">
        <v>222</v>
      </c>
      <c r="F16" s="209"/>
      <c r="G16" s="209"/>
      <c r="H16" s="330" t="s">
        <v>222</v>
      </c>
      <c r="I16" s="330" t="s">
        <v>222</v>
      </c>
      <c r="J16" s="330" t="s">
        <v>222</v>
      </c>
      <c r="K16" s="209"/>
      <c r="L16" s="209"/>
      <c r="M16" s="209"/>
      <c r="N16" s="209"/>
      <c r="O16" s="209"/>
      <c r="P16" s="209"/>
      <c r="Q16" s="214"/>
      <c r="R16" s="214"/>
      <c r="S16" s="198"/>
      <c r="T16" s="198"/>
      <c r="U16" s="198"/>
      <c r="V16" s="198"/>
      <c r="W16" s="198"/>
      <c r="X16" s="198"/>
      <c r="Y16" s="198"/>
      <c r="Z16" s="199"/>
      <c r="AA16" s="199"/>
      <c r="AB16" s="199"/>
      <c r="AC16" s="199"/>
      <c r="AD16" s="199"/>
      <c r="AE16" s="199"/>
      <c r="AF16" s="265"/>
      <c r="AG16" s="265"/>
      <c r="AH16" s="265"/>
      <c r="AI16" s="265"/>
      <c r="AJ16" s="265"/>
      <c r="AK16" s="265"/>
      <c r="AL16" s="265"/>
    </row>
    <row r="17">
      <c r="A17" s="266"/>
      <c r="B17" s="221"/>
      <c r="C17" s="217" t="s">
        <v>339</v>
      </c>
      <c r="D17" s="218">
        <v>4.0</v>
      </c>
      <c r="E17" s="209"/>
      <c r="F17" s="330" t="s">
        <v>222</v>
      </c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198"/>
      <c r="T17" s="198"/>
      <c r="U17" s="198"/>
      <c r="V17" s="198"/>
      <c r="W17" s="198"/>
      <c r="X17" s="198"/>
      <c r="Y17" s="198"/>
      <c r="Z17" s="199"/>
      <c r="AA17" s="199"/>
      <c r="AB17" s="199"/>
      <c r="AC17" s="199"/>
      <c r="AD17" s="199"/>
      <c r="AE17" s="199"/>
      <c r="AF17" s="265"/>
      <c r="AG17" s="265"/>
      <c r="AH17" s="265"/>
      <c r="AI17" s="265"/>
      <c r="AJ17" s="265"/>
      <c r="AK17" s="265"/>
      <c r="AL17" s="265"/>
    </row>
    <row r="18">
      <c r="A18" s="270"/>
      <c r="B18" s="221"/>
      <c r="C18" s="217" t="s">
        <v>340</v>
      </c>
      <c r="D18" s="218" t="s">
        <v>297</v>
      </c>
      <c r="E18" s="223"/>
      <c r="F18" s="209"/>
      <c r="G18" s="330" t="s">
        <v>222</v>
      </c>
      <c r="H18" s="209"/>
      <c r="I18" s="330"/>
      <c r="J18" s="209"/>
      <c r="K18" s="209"/>
      <c r="L18" s="223"/>
      <c r="M18" s="209"/>
      <c r="N18" s="209"/>
      <c r="O18" s="209"/>
      <c r="P18" s="209"/>
      <c r="Q18" s="209"/>
      <c r="R18" s="209"/>
      <c r="S18" s="198"/>
      <c r="T18" s="198"/>
      <c r="U18" s="198"/>
      <c r="V18" s="198"/>
      <c r="W18" s="198"/>
      <c r="X18" s="198"/>
      <c r="Y18" s="198"/>
      <c r="Z18" s="199"/>
      <c r="AA18" s="199"/>
      <c r="AB18" s="199"/>
      <c r="AC18" s="199"/>
      <c r="AD18" s="199"/>
      <c r="AE18" s="199"/>
      <c r="AF18" s="265"/>
      <c r="AG18" s="265"/>
      <c r="AH18" s="265"/>
      <c r="AI18" s="265"/>
      <c r="AJ18" s="265"/>
      <c r="AK18" s="265"/>
      <c r="AL18" s="265"/>
    </row>
    <row r="19" ht="21.75" customHeight="1">
      <c r="A19" s="226" t="s">
        <v>238</v>
      </c>
      <c r="B19" s="227" t="s">
        <v>239</v>
      </c>
      <c r="C19" s="228"/>
      <c r="D19" s="229"/>
      <c r="E19" s="223"/>
      <c r="F19" s="209"/>
      <c r="G19" s="209"/>
      <c r="H19" s="209"/>
      <c r="I19" s="209"/>
      <c r="J19" s="209"/>
      <c r="K19" s="209"/>
      <c r="L19" s="223"/>
      <c r="M19" s="209"/>
      <c r="N19" s="209"/>
      <c r="O19" s="209"/>
      <c r="P19" s="209"/>
      <c r="Q19" s="209"/>
      <c r="R19" s="209"/>
      <c r="S19" s="198"/>
      <c r="T19" s="198"/>
      <c r="U19" s="198"/>
      <c r="V19" s="198"/>
      <c r="W19" s="198"/>
      <c r="X19" s="198"/>
      <c r="Y19" s="198"/>
      <c r="Z19" s="199"/>
      <c r="AA19" s="199"/>
      <c r="AB19" s="199"/>
      <c r="AC19" s="199"/>
      <c r="AD19" s="199"/>
      <c r="AE19" s="199"/>
      <c r="AF19" s="265"/>
      <c r="AG19" s="265"/>
      <c r="AH19" s="265"/>
      <c r="AI19" s="265"/>
      <c r="AJ19" s="265"/>
      <c r="AK19" s="265"/>
      <c r="AL19" s="265"/>
    </row>
    <row r="20" ht="19.5" customHeight="1">
      <c r="A20" s="307"/>
      <c r="B20" s="231"/>
      <c r="C20" s="228"/>
      <c r="D20" s="232" t="b">
        <v>1</v>
      </c>
      <c r="E20" s="224" t="s">
        <v>222</v>
      </c>
      <c r="F20" s="333" t="s">
        <v>222</v>
      </c>
      <c r="G20" s="223"/>
      <c r="H20" s="223"/>
      <c r="I20" s="223"/>
      <c r="J20" s="223"/>
      <c r="K20" s="223"/>
      <c r="L20" s="223"/>
      <c r="M20" s="223"/>
      <c r="N20" s="223"/>
      <c r="O20" s="223"/>
      <c r="P20" s="209"/>
      <c r="Q20" s="209"/>
      <c r="R20" s="209"/>
      <c r="S20" s="198"/>
      <c r="T20" s="198"/>
      <c r="U20" s="198"/>
      <c r="V20" s="198"/>
      <c r="W20" s="198"/>
      <c r="X20" s="198"/>
      <c r="Y20" s="198"/>
      <c r="Z20" s="199"/>
      <c r="AA20" s="199"/>
      <c r="AB20" s="199"/>
      <c r="AC20" s="199"/>
      <c r="AD20" s="199"/>
      <c r="AE20" s="199"/>
      <c r="AF20" s="265"/>
      <c r="AG20" s="265"/>
      <c r="AH20" s="265"/>
      <c r="AI20" s="265"/>
      <c r="AJ20" s="265"/>
      <c r="AK20" s="265"/>
      <c r="AL20" s="265"/>
    </row>
    <row r="21" ht="19.5" customHeight="1">
      <c r="A21" s="307"/>
      <c r="B21" s="234"/>
      <c r="C21" s="235"/>
      <c r="D21" s="232" t="b">
        <v>0</v>
      </c>
      <c r="E21" s="224"/>
      <c r="F21" s="209"/>
      <c r="G21" s="330" t="s">
        <v>222</v>
      </c>
      <c r="H21" s="330" t="s">
        <v>222</v>
      </c>
      <c r="I21" s="330" t="s">
        <v>222</v>
      </c>
      <c r="J21" s="330" t="s">
        <v>222</v>
      </c>
      <c r="K21" s="209"/>
      <c r="L21" s="209"/>
      <c r="M21" s="209"/>
      <c r="N21" s="209"/>
      <c r="O21" s="209"/>
      <c r="P21" s="209"/>
      <c r="Q21" s="209"/>
      <c r="R21" s="209"/>
      <c r="S21" s="198"/>
      <c r="T21" s="198"/>
      <c r="U21" s="198"/>
      <c r="V21" s="198"/>
      <c r="W21" s="198"/>
      <c r="X21" s="198"/>
      <c r="Y21" s="198"/>
      <c r="Z21" s="199"/>
      <c r="AA21" s="199"/>
      <c r="AB21" s="199"/>
      <c r="AC21" s="199"/>
      <c r="AD21" s="199"/>
      <c r="AE21" s="199"/>
      <c r="AF21" s="265"/>
      <c r="AG21" s="265"/>
      <c r="AH21" s="265"/>
      <c r="AI21" s="265"/>
      <c r="AJ21" s="265"/>
      <c r="AK21" s="265"/>
      <c r="AL21" s="265"/>
    </row>
    <row r="22" ht="21.75" customHeight="1">
      <c r="A22" s="307"/>
      <c r="B22" s="236" t="s">
        <v>240</v>
      </c>
      <c r="C22" s="277"/>
      <c r="D22" s="278"/>
      <c r="E22" s="224"/>
      <c r="F22" s="223"/>
      <c r="G22" s="223"/>
      <c r="H22" s="223"/>
      <c r="I22" s="223"/>
      <c r="J22" s="223"/>
      <c r="K22" s="223"/>
      <c r="L22" s="223"/>
      <c r="M22" s="223"/>
      <c r="N22" s="223"/>
      <c r="O22" s="223"/>
      <c r="P22" s="209"/>
      <c r="Q22" s="209"/>
      <c r="R22" s="209"/>
      <c r="S22" s="198"/>
      <c r="T22" s="198"/>
      <c r="U22" s="198"/>
      <c r="V22" s="198"/>
      <c r="W22" s="198"/>
      <c r="X22" s="198"/>
      <c r="Y22" s="198"/>
      <c r="Z22" s="199"/>
      <c r="AA22" s="199"/>
      <c r="AB22" s="199"/>
      <c r="AC22" s="199"/>
      <c r="AD22" s="199"/>
      <c r="AE22" s="199"/>
      <c r="AF22" s="265"/>
      <c r="AG22" s="265"/>
      <c r="AH22" s="265"/>
      <c r="AI22" s="265"/>
      <c r="AJ22" s="265"/>
      <c r="AK22" s="265"/>
      <c r="AL22" s="265"/>
    </row>
    <row r="23" ht="21.75" customHeight="1">
      <c r="A23" s="307"/>
      <c r="B23" s="237"/>
      <c r="C23" s="280"/>
      <c r="D23" s="281"/>
      <c r="E23" s="224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09"/>
      <c r="Q23" s="209"/>
      <c r="R23" s="209"/>
      <c r="S23" s="198"/>
      <c r="T23" s="198"/>
      <c r="U23" s="198"/>
      <c r="V23" s="198"/>
      <c r="W23" s="198"/>
      <c r="X23" s="198"/>
      <c r="Y23" s="198"/>
      <c r="Z23" s="199"/>
      <c r="AA23" s="199"/>
      <c r="AB23" s="199"/>
      <c r="AC23" s="199"/>
      <c r="AD23" s="199"/>
      <c r="AE23" s="199"/>
      <c r="AF23" s="265"/>
      <c r="AG23" s="265"/>
      <c r="AH23" s="265"/>
      <c r="AI23" s="265"/>
      <c r="AJ23" s="265"/>
      <c r="AK23" s="265"/>
      <c r="AL23" s="265"/>
    </row>
    <row r="24" ht="21.75" customHeight="1">
      <c r="A24" s="307"/>
      <c r="B24" s="238"/>
      <c r="C24" s="16"/>
      <c r="D24" s="17"/>
      <c r="E24" s="224"/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09"/>
      <c r="R24" s="209"/>
      <c r="S24" s="198"/>
      <c r="T24" s="198"/>
      <c r="U24" s="198"/>
      <c r="V24" s="198"/>
      <c r="W24" s="198"/>
      <c r="X24" s="198"/>
      <c r="Y24" s="198"/>
      <c r="Z24" s="199"/>
      <c r="AA24" s="199"/>
      <c r="AB24" s="199"/>
      <c r="AC24" s="199"/>
      <c r="AD24" s="199"/>
      <c r="AE24" s="199"/>
      <c r="AF24" s="265"/>
      <c r="AG24" s="265"/>
      <c r="AH24" s="265"/>
      <c r="AI24" s="265"/>
      <c r="AJ24" s="265"/>
      <c r="AK24" s="265"/>
      <c r="AL24" s="265"/>
    </row>
    <row r="25" ht="30.0" customHeight="1">
      <c r="A25" s="307"/>
      <c r="B25" s="227" t="s">
        <v>241</v>
      </c>
      <c r="C25" s="228"/>
      <c r="D25" s="229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09"/>
      <c r="R25" s="209"/>
      <c r="S25" s="198"/>
      <c r="T25" s="198"/>
      <c r="U25" s="198"/>
      <c r="V25" s="198"/>
      <c r="W25" s="198"/>
      <c r="X25" s="198"/>
      <c r="Y25" s="198"/>
      <c r="Z25" s="199"/>
      <c r="AA25" s="199"/>
      <c r="AB25" s="199"/>
      <c r="AC25" s="199"/>
      <c r="AD25" s="199"/>
      <c r="AE25" s="199"/>
      <c r="AF25" s="265"/>
      <c r="AG25" s="265"/>
      <c r="AH25" s="265"/>
      <c r="AI25" s="265"/>
      <c r="AJ25" s="265"/>
      <c r="AK25" s="265"/>
      <c r="AL25" s="265"/>
    </row>
    <row r="26" ht="30.75" customHeight="1">
      <c r="A26" s="310"/>
      <c r="B26" s="288"/>
      <c r="C26" s="309"/>
      <c r="D26" s="290" t="s">
        <v>341</v>
      </c>
      <c r="E26" s="332" t="s">
        <v>222</v>
      </c>
      <c r="F26" s="332" t="s">
        <v>222</v>
      </c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09"/>
      <c r="R26" s="209"/>
      <c r="S26" s="198"/>
      <c r="T26" s="198"/>
      <c r="U26" s="198"/>
      <c r="V26" s="198"/>
      <c r="W26" s="198"/>
      <c r="X26" s="198"/>
      <c r="Y26" s="198"/>
      <c r="Z26" s="199"/>
      <c r="AA26" s="199"/>
      <c r="AB26" s="265"/>
      <c r="AC26" s="265"/>
      <c r="AD26" s="265"/>
      <c r="AE26" s="265"/>
      <c r="AF26" s="265"/>
      <c r="AG26" s="265"/>
      <c r="AH26" s="265"/>
      <c r="AI26" s="265"/>
      <c r="AJ26" s="265"/>
      <c r="AK26" s="265"/>
      <c r="AL26" s="265"/>
    </row>
    <row r="27" ht="33.0" customHeight="1">
      <c r="A27" s="310"/>
      <c r="B27" s="283"/>
      <c r="C27" s="309"/>
      <c r="D27" s="323" t="s">
        <v>246</v>
      </c>
      <c r="E27" s="224"/>
      <c r="F27" s="332"/>
      <c r="G27" s="224"/>
      <c r="H27" s="224"/>
      <c r="I27" s="332" t="s">
        <v>222</v>
      </c>
      <c r="J27" s="224"/>
      <c r="K27" s="224"/>
      <c r="L27" s="224"/>
      <c r="M27" s="224"/>
      <c r="N27" s="224"/>
      <c r="O27" s="224"/>
      <c r="P27" s="224"/>
      <c r="Q27" s="209"/>
      <c r="R27" s="209"/>
      <c r="S27" s="198"/>
      <c r="T27" s="198"/>
      <c r="U27" s="198"/>
      <c r="V27" s="198"/>
      <c r="W27" s="198"/>
      <c r="X27" s="198"/>
      <c r="Y27" s="198"/>
      <c r="Z27" s="199"/>
      <c r="AA27" s="199"/>
      <c r="AB27" s="265"/>
      <c r="AC27" s="265"/>
      <c r="AD27" s="265"/>
      <c r="AE27" s="265"/>
      <c r="AF27" s="265"/>
      <c r="AG27" s="265"/>
      <c r="AH27" s="265"/>
      <c r="AI27" s="265"/>
      <c r="AJ27" s="265"/>
      <c r="AK27" s="265"/>
      <c r="AL27" s="265"/>
    </row>
    <row r="28" ht="27.75" customHeight="1">
      <c r="A28" s="297"/>
      <c r="B28" s="180"/>
      <c r="C28" s="298"/>
      <c r="D28" s="326" t="s">
        <v>300</v>
      </c>
      <c r="E28" s="224"/>
      <c r="F28" s="224"/>
      <c r="G28" s="332" t="s">
        <v>222</v>
      </c>
      <c r="H28" s="332" t="s">
        <v>222</v>
      </c>
      <c r="I28" s="332"/>
      <c r="J28" s="332" t="s">
        <v>222</v>
      </c>
      <c r="K28" s="224"/>
      <c r="L28" s="224"/>
      <c r="M28" s="224"/>
      <c r="N28" s="224"/>
      <c r="O28" s="224"/>
      <c r="P28" s="224"/>
      <c r="Q28" s="209"/>
      <c r="R28" s="209"/>
      <c r="S28" s="198"/>
      <c r="T28" s="198"/>
      <c r="U28" s="198"/>
      <c r="V28" s="198"/>
      <c r="W28" s="198"/>
      <c r="X28" s="198"/>
      <c r="Y28" s="198"/>
      <c r="Z28" s="203"/>
      <c r="AA28" s="203"/>
      <c r="AB28" s="203"/>
      <c r="AC28" s="203"/>
      <c r="AD28" s="265"/>
      <c r="AE28" s="265"/>
      <c r="AF28" s="265"/>
      <c r="AG28" s="265"/>
      <c r="AH28" s="265"/>
      <c r="AI28" s="265"/>
      <c r="AJ28" s="265"/>
      <c r="AK28" s="265"/>
      <c r="AL28" s="265"/>
    </row>
    <row r="29" ht="15.75" customHeight="1">
      <c r="A29" s="226" t="s">
        <v>249</v>
      </c>
      <c r="B29" s="245" t="s">
        <v>250</v>
      </c>
      <c r="C29" s="246"/>
      <c r="D29" s="247"/>
      <c r="E29" s="248" t="s">
        <v>167</v>
      </c>
      <c r="F29" s="248" t="s">
        <v>62</v>
      </c>
      <c r="G29" s="248" t="s">
        <v>62</v>
      </c>
      <c r="H29" s="248" t="s">
        <v>62</v>
      </c>
      <c r="I29" s="248" t="s">
        <v>62</v>
      </c>
      <c r="J29" s="248" t="s">
        <v>62</v>
      </c>
      <c r="K29" s="248" t="s">
        <v>168</v>
      </c>
      <c r="L29" s="248" t="s">
        <v>167</v>
      </c>
      <c r="M29" s="248" t="s">
        <v>62</v>
      </c>
      <c r="N29" s="248" t="s">
        <v>62</v>
      </c>
      <c r="O29" s="248" t="s">
        <v>62</v>
      </c>
      <c r="P29" s="248" t="s">
        <v>168</v>
      </c>
      <c r="Q29" s="248" t="s">
        <v>62</v>
      </c>
      <c r="R29" s="248" t="s">
        <v>62</v>
      </c>
      <c r="S29" s="198"/>
      <c r="T29" s="198"/>
      <c r="U29" s="198"/>
      <c r="V29" s="198"/>
      <c r="W29" s="198"/>
      <c r="X29" s="198"/>
      <c r="Y29" s="198"/>
      <c r="Z29" s="199"/>
      <c r="AA29" s="199"/>
      <c r="AB29" s="199"/>
      <c r="AC29" s="198"/>
      <c r="AD29" s="198"/>
      <c r="AE29" s="198"/>
      <c r="AF29" s="203"/>
      <c r="AG29" s="203"/>
      <c r="AH29" s="203"/>
      <c r="AI29" s="203"/>
      <c r="AJ29" s="203"/>
      <c r="AK29" s="203"/>
      <c r="AL29" s="203"/>
    </row>
    <row r="30" ht="15.75" customHeight="1">
      <c r="A30" s="241"/>
      <c r="B30" s="249" t="s">
        <v>251</v>
      </c>
      <c r="C30" s="16"/>
      <c r="D30" s="17"/>
      <c r="E30" s="250" t="s">
        <v>252</v>
      </c>
      <c r="F30" s="250" t="s">
        <v>252</v>
      </c>
      <c r="G30" s="250" t="s">
        <v>252</v>
      </c>
      <c r="H30" s="250" t="s">
        <v>252</v>
      </c>
      <c r="I30" s="250" t="s">
        <v>252</v>
      </c>
      <c r="J30" s="250" t="s">
        <v>252</v>
      </c>
      <c r="K30" s="250" t="s">
        <v>252</v>
      </c>
      <c r="L30" s="250" t="s">
        <v>252</v>
      </c>
      <c r="M30" s="250" t="s">
        <v>252</v>
      </c>
      <c r="N30" s="250" t="s">
        <v>252</v>
      </c>
      <c r="O30" s="250" t="s">
        <v>252</v>
      </c>
      <c r="P30" s="250" t="s">
        <v>252</v>
      </c>
      <c r="Q30" s="250" t="s">
        <v>252</v>
      </c>
      <c r="R30" s="250" t="s">
        <v>252</v>
      </c>
      <c r="S30" s="198"/>
      <c r="T30" s="198"/>
      <c r="U30" s="198"/>
      <c r="V30" s="198"/>
      <c r="W30" s="198"/>
      <c r="X30" s="198"/>
      <c r="Y30" s="198"/>
      <c r="Z30" s="199"/>
      <c r="AA30" s="199"/>
      <c r="AB30" s="199"/>
      <c r="AC30" s="198"/>
      <c r="AD30" s="198"/>
      <c r="AE30" s="198"/>
      <c r="AF30" s="203"/>
      <c r="AG30" s="203"/>
      <c r="AH30" s="203"/>
      <c r="AI30" s="203"/>
      <c r="AJ30" s="203"/>
      <c r="AK30" s="203"/>
      <c r="AL30" s="203"/>
    </row>
    <row r="31" ht="15.75" customHeight="1">
      <c r="A31" s="241"/>
      <c r="B31" s="251" t="s">
        <v>253</v>
      </c>
      <c r="C31" s="16"/>
      <c r="D31" s="17"/>
      <c r="E31" s="252">
        <v>45948.0</v>
      </c>
      <c r="F31" s="252">
        <v>45948.0</v>
      </c>
      <c r="G31" s="252">
        <v>45948.0</v>
      </c>
      <c r="H31" s="252">
        <v>45948.0</v>
      </c>
      <c r="I31" s="252">
        <v>45948.0</v>
      </c>
      <c r="J31" s="252">
        <v>45948.0</v>
      </c>
      <c r="K31" s="252">
        <v>45948.0</v>
      </c>
      <c r="L31" s="252">
        <v>45948.0</v>
      </c>
      <c r="M31" s="252">
        <v>45948.0</v>
      </c>
      <c r="N31" s="252">
        <v>45948.0</v>
      </c>
      <c r="O31" s="252">
        <v>45948.0</v>
      </c>
      <c r="P31" s="252">
        <v>45948.0</v>
      </c>
      <c r="Q31" s="252">
        <v>45948.0</v>
      </c>
      <c r="R31" s="252">
        <v>45949.0</v>
      </c>
      <c r="S31" s="198"/>
      <c r="T31" s="198"/>
      <c r="U31" s="198"/>
      <c r="V31" s="198"/>
      <c r="W31" s="198"/>
      <c r="X31" s="198"/>
      <c r="Y31" s="198"/>
      <c r="Z31" s="199"/>
      <c r="AA31" s="199"/>
      <c r="AB31" s="199"/>
      <c r="AC31" s="198"/>
      <c r="AD31" s="198"/>
      <c r="AE31" s="198"/>
      <c r="AF31" s="203"/>
      <c r="AG31" s="203"/>
      <c r="AH31" s="203"/>
      <c r="AI31" s="203"/>
      <c r="AJ31" s="203"/>
      <c r="AK31" s="203"/>
      <c r="AL31" s="203"/>
    </row>
    <row r="32" ht="74.25" customHeight="1">
      <c r="A32" s="253"/>
      <c r="B32" s="254" t="s">
        <v>254</v>
      </c>
      <c r="C32" s="255"/>
      <c r="D32" s="256"/>
      <c r="E32" s="257"/>
      <c r="F32" s="258"/>
      <c r="G32" s="259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198"/>
      <c r="T32" s="198"/>
      <c r="U32" s="198"/>
      <c r="V32" s="198"/>
      <c r="W32" s="198"/>
      <c r="X32" s="198"/>
      <c r="Y32" s="198"/>
      <c r="Z32" s="199"/>
      <c r="AA32" s="199"/>
      <c r="AB32" s="199"/>
      <c r="AC32" s="198"/>
      <c r="AD32" s="198"/>
      <c r="AE32" s="198"/>
      <c r="AF32" s="203"/>
      <c r="AG32" s="203"/>
      <c r="AH32" s="203"/>
      <c r="AI32" s="203"/>
      <c r="AJ32" s="203"/>
      <c r="AK32" s="203"/>
      <c r="AL32" s="203"/>
    </row>
    <row r="33" ht="15.75" customHeight="1">
      <c r="A33" s="198"/>
      <c r="B33" s="198"/>
      <c r="C33" s="198"/>
      <c r="D33" s="198"/>
      <c r="E33" s="198"/>
      <c r="F33" s="198"/>
      <c r="G33" s="199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9"/>
      <c r="AA33" s="199"/>
      <c r="AB33" s="199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</row>
    <row r="34" ht="15.75" customHeight="1">
      <c r="A34" s="198"/>
      <c r="B34" s="198"/>
      <c r="C34" s="198"/>
      <c r="D34" s="198"/>
      <c r="E34" s="198"/>
      <c r="F34" s="198"/>
      <c r="G34" s="199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9"/>
      <c r="AA34" s="199"/>
      <c r="AB34" s="199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</row>
    <row r="35" ht="15.75" customHeight="1">
      <c r="A35" s="198"/>
      <c r="B35" s="198"/>
      <c r="C35" s="198"/>
      <c r="D35" s="198"/>
      <c r="E35" s="198"/>
      <c r="F35" s="198"/>
      <c r="G35" s="199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9"/>
      <c r="AA35" s="199"/>
      <c r="AB35" s="199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</row>
    <row r="36" ht="15.75" customHeight="1">
      <c r="A36" s="198"/>
      <c r="B36" s="198"/>
      <c r="C36" s="198"/>
      <c r="D36" s="198"/>
      <c r="E36" s="198"/>
      <c r="F36" s="198"/>
      <c r="G36" s="199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9"/>
      <c r="AA36" s="199"/>
      <c r="AB36" s="199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</row>
    <row r="37" ht="15.75" customHeight="1">
      <c r="A37" s="198"/>
      <c r="B37" s="198"/>
      <c r="C37" s="198"/>
      <c r="D37" s="198"/>
      <c r="E37" s="198"/>
      <c r="F37" s="198"/>
      <c r="G37" s="199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9"/>
      <c r="AA37" s="199"/>
      <c r="AB37" s="199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</row>
    <row r="38" ht="15.75" customHeight="1">
      <c r="A38" s="198"/>
      <c r="B38" s="198"/>
      <c r="C38" s="198"/>
      <c r="D38" s="198"/>
      <c r="E38" s="198"/>
      <c r="F38" s="198"/>
      <c r="G38" s="199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9"/>
      <c r="AA38" s="199"/>
      <c r="AB38" s="199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</row>
    <row r="39" ht="15.75" customHeight="1">
      <c r="A39" s="198"/>
      <c r="B39" s="198"/>
      <c r="C39" s="198"/>
      <c r="D39" s="198"/>
      <c r="E39" s="198"/>
      <c r="F39" s="198"/>
      <c r="G39" s="199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9"/>
      <c r="AA39" s="199"/>
      <c r="AB39" s="199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</row>
    <row r="40" ht="15.75" customHeight="1">
      <c r="A40" s="198"/>
      <c r="B40" s="198"/>
      <c r="C40" s="198"/>
      <c r="D40" s="198"/>
      <c r="E40" s="198"/>
      <c r="F40" s="198"/>
      <c r="G40" s="199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9"/>
      <c r="AA40" s="199"/>
      <c r="AB40" s="199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</row>
    <row r="41" ht="15.75" customHeight="1">
      <c r="A41" s="198"/>
      <c r="B41" s="198"/>
      <c r="C41" s="198"/>
      <c r="D41" s="198"/>
      <c r="E41" s="198"/>
      <c r="F41" s="198"/>
      <c r="G41" s="199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9"/>
      <c r="AA41" s="198"/>
      <c r="AB41" s="198"/>
      <c r="AC41" s="198"/>
      <c r="AD41" s="198"/>
      <c r="AE41" s="198"/>
      <c r="AF41" s="198"/>
      <c r="AG41" s="198"/>
      <c r="AH41" s="198"/>
      <c r="AI41" s="198"/>
      <c r="AJ41" s="198"/>
      <c r="AK41" s="198"/>
      <c r="AL41" s="198"/>
    </row>
    <row r="42" ht="15.75" customHeight="1">
      <c r="A42" s="198"/>
      <c r="B42" s="198"/>
      <c r="C42" s="198"/>
      <c r="D42" s="198"/>
      <c r="E42" s="198"/>
      <c r="F42" s="198"/>
      <c r="G42" s="199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9"/>
      <c r="AA42" s="198"/>
      <c r="AB42" s="198"/>
      <c r="AC42" s="198"/>
      <c r="AD42" s="198"/>
      <c r="AE42" s="198"/>
      <c r="AF42" s="198"/>
      <c r="AG42" s="198"/>
      <c r="AH42" s="198"/>
      <c r="AI42" s="198"/>
      <c r="AJ42" s="198"/>
      <c r="AK42" s="198"/>
      <c r="AL42" s="198"/>
    </row>
    <row r="43" ht="15.75" customHeight="1">
      <c r="A43" s="198"/>
      <c r="B43" s="198"/>
      <c r="C43" s="198"/>
      <c r="D43" s="198"/>
      <c r="E43" s="198"/>
      <c r="F43" s="198"/>
      <c r="G43" s="199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9"/>
      <c r="AA43" s="198"/>
      <c r="AB43" s="198"/>
      <c r="AC43" s="198"/>
      <c r="AD43" s="198"/>
      <c r="AE43" s="198"/>
      <c r="AF43" s="198"/>
      <c r="AG43" s="198"/>
      <c r="AH43" s="198"/>
      <c r="AI43" s="198"/>
      <c r="AJ43" s="198"/>
      <c r="AK43" s="198"/>
      <c r="AL43" s="198"/>
    </row>
    <row r="44" ht="15.75" customHeight="1">
      <c r="A44" s="198"/>
      <c r="B44" s="198"/>
      <c r="C44" s="198"/>
      <c r="D44" s="198"/>
      <c r="E44" s="198"/>
      <c r="F44" s="198"/>
      <c r="G44" s="199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9"/>
      <c r="AA44" s="198"/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</row>
    <row r="45" ht="15.75" customHeight="1">
      <c r="A45" s="198"/>
      <c r="B45" s="198"/>
      <c r="C45" s="198"/>
      <c r="D45" s="198"/>
      <c r="E45" s="198"/>
      <c r="F45" s="198"/>
      <c r="G45" s="199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9"/>
      <c r="AA45" s="198"/>
      <c r="AB45" s="198"/>
      <c r="AC45" s="198"/>
      <c r="AD45" s="198"/>
      <c r="AE45" s="198"/>
      <c r="AF45" s="198"/>
      <c r="AG45" s="198"/>
      <c r="AH45" s="198"/>
      <c r="AI45" s="198"/>
      <c r="AJ45" s="198"/>
      <c r="AK45" s="198"/>
      <c r="AL45" s="198"/>
    </row>
    <row r="46" ht="15.75" customHeight="1">
      <c r="A46" s="198"/>
      <c r="B46" s="198"/>
      <c r="C46" s="198"/>
      <c r="D46" s="198"/>
      <c r="E46" s="198"/>
      <c r="F46" s="198"/>
      <c r="G46" s="199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9"/>
      <c r="AA46" s="198"/>
      <c r="AB46" s="198"/>
      <c r="AC46" s="198"/>
      <c r="AD46" s="198"/>
      <c r="AE46" s="198"/>
      <c r="AF46" s="198"/>
      <c r="AG46" s="198"/>
      <c r="AH46" s="198"/>
      <c r="AI46" s="198"/>
      <c r="AJ46" s="198"/>
      <c r="AK46" s="198"/>
      <c r="AL46" s="198"/>
    </row>
    <row r="47" ht="15.75" customHeight="1">
      <c r="A47" s="198"/>
      <c r="B47" s="198"/>
      <c r="C47" s="198"/>
      <c r="D47" s="198"/>
      <c r="E47" s="198"/>
      <c r="F47" s="198"/>
      <c r="G47" s="199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9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</row>
    <row r="48" ht="15.75" customHeight="1">
      <c r="A48" s="198"/>
      <c r="B48" s="198"/>
      <c r="C48" s="198"/>
      <c r="D48" s="198"/>
      <c r="E48" s="198"/>
      <c r="F48" s="198"/>
      <c r="G48" s="199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9"/>
      <c r="AA48" s="198"/>
      <c r="AB48" s="198"/>
      <c r="AC48" s="198"/>
      <c r="AD48" s="198"/>
      <c r="AE48" s="198"/>
      <c r="AF48" s="198"/>
      <c r="AG48" s="198"/>
      <c r="AH48" s="198"/>
      <c r="AI48" s="198"/>
      <c r="AJ48" s="198"/>
      <c r="AK48" s="198"/>
      <c r="AL48" s="198"/>
    </row>
    <row r="49" ht="15.75" customHeight="1">
      <c r="A49" s="198"/>
      <c r="B49" s="198"/>
      <c r="C49" s="198"/>
      <c r="D49" s="198"/>
      <c r="E49" s="198"/>
      <c r="F49" s="198"/>
      <c r="G49" s="199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9"/>
      <c r="AA49" s="198"/>
      <c r="AB49" s="198"/>
      <c r="AC49" s="198"/>
      <c r="AD49" s="198"/>
      <c r="AE49" s="198"/>
      <c r="AF49" s="198"/>
      <c r="AG49" s="198"/>
      <c r="AH49" s="198"/>
      <c r="AI49" s="198"/>
      <c r="AJ49" s="198"/>
      <c r="AK49" s="198"/>
      <c r="AL49" s="198"/>
    </row>
    <row r="50" ht="15.75" customHeight="1">
      <c r="A50" s="198"/>
      <c r="B50" s="198"/>
      <c r="C50" s="198"/>
      <c r="D50" s="198"/>
      <c r="E50" s="198"/>
      <c r="F50" s="198"/>
      <c r="G50" s="199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9"/>
      <c r="AA50" s="198"/>
      <c r="AB50" s="198"/>
      <c r="AC50" s="198"/>
      <c r="AD50" s="198"/>
      <c r="AE50" s="198"/>
      <c r="AF50" s="198"/>
      <c r="AG50" s="198"/>
      <c r="AH50" s="198"/>
      <c r="AI50" s="198"/>
      <c r="AJ50" s="198"/>
      <c r="AK50" s="198"/>
      <c r="AL50" s="198"/>
    </row>
    <row r="51" ht="15.75" customHeight="1">
      <c r="A51" s="198"/>
      <c r="B51" s="198"/>
      <c r="C51" s="198"/>
      <c r="D51" s="198"/>
      <c r="E51" s="198"/>
      <c r="F51" s="198"/>
      <c r="G51" s="199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9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</row>
    <row r="52" ht="15.75" customHeight="1">
      <c r="A52" s="198"/>
      <c r="B52" s="198"/>
      <c r="C52" s="198"/>
      <c r="D52" s="198"/>
      <c r="E52" s="198"/>
      <c r="F52" s="198"/>
      <c r="G52" s="199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9"/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</row>
    <row r="53" ht="15.75" customHeight="1">
      <c r="A53" s="198"/>
      <c r="B53" s="198"/>
      <c r="C53" s="198"/>
      <c r="D53" s="198"/>
      <c r="E53" s="198"/>
      <c r="F53" s="198"/>
      <c r="G53" s="199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9"/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</row>
    <row r="54" ht="15.75" customHeight="1">
      <c r="A54" s="198"/>
      <c r="B54" s="198"/>
      <c r="C54" s="198"/>
      <c r="D54" s="198"/>
      <c r="E54" s="198"/>
      <c r="F54" s="198"/>
      <c r="G54" s="199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9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</row>
    <row r="55" ht="15.75" customHeight="1">
      <c r="A55" s="198"/>
      <c r="B55" s="198"/>
      <c r="C55" s="198"/>
      <c r="D55" s="198"/>
      <c r="E55" s="198"/>
      <c r="F55" s="198"/>
      <c r="G55" s="199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9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</row>
    <row r="56" ht="15.75" customHeight="1">
      <c r="A56" s="198"/>
      <c r="B56" s="198"/>
      <c r="C56" s="198"/>
      <c r="D56" s="198"/>
      <c r="E56" s="198"/>
      <c r="F56" s="198"/>
      <c r="G56" s="199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9"/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</row>
    <row r="57" ht="15.75" customHeight="1">
      <c r="A57" s="198"/>
      <c r="B57" s="198"/>
      <c r="C57" s="198"/>
      <c r="D57" s="198"/>
      <c r="E57" s="198"/>
      <c r="F57" s="198"/>
      <c r="G57" s="199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9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</row>
    <row r="58" ht="15.75" customHeight="1">
      <c r="A58" s="198"/>
      <c r="B58" s="198"/>
      <c r="C58" s="198"/>
      <c r="D58" s="198"/>
      <c r="E58" s="198"/>
      <c r="F58" s="198"/>
      <c r="G58" s="199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9"/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</row>
    <row r="59" ht="15.75" customHeight="1">
      <c r="A59" s="198"/>
      <c r="B59" s="198"/>
      <c r="C59" s="198"/>
      <c r="D59" s="198"/>
      <c r="E59" s="198"/>
      <c r="F59" s="198"/>
      <c r="G59" s="199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9"/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</row>
    <row r="60" ht="15.75" customHeight="1">
      <c r="A60" s="198"/>
      <c r="B60" s="198"/>
      <c r="C60" s="198"/>
      <c r="D60" s="198"/>
      <c r="E60" s="198"/>
      <c r="F60" s="198"/>
      <c r="G60" s="199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9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</row>
    <row r="61" ht="15.75" customHeight="1">
      <c r="A61" s="198"/>
      <c r="B61" s="198"/>
      <c r="C61" s="198"/>
      <c r="D61" s="198"/>
      <c r="E61" s="198"/>
      <c r="F61" s="198"/>
      <c r="G61" s="199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9"/>
      <c r="AA61" s="198"/>
      <c r="AB61" s="198"/>
      <c r="AC61" s="198"/>
      <c r="AD61" s="198"/>
      <c r="AE61" s="198"/>
      <c r="AF61" s="198"/>
      <c r="AG61" s="198"/>
      <c r="AH61" s="198"/>
      <c r="AI61" s="198"/>
      <c r="AJ61" s="198"/>
      <c r="AK61" s="198"/>
      <c r="AL61" s="198"/>
    </row>
    <row r="62" ht="15.75" customHeight="1">
      <c r="A62" s="198"/>
      <c r="B62" s="198"/>
      <c r="C62" s="198"/>
      <c r="D62" s="198"/>
      <c r="E62" s="198"/>
      <c r="F62" s="198"/>
      <c r="G62" s="199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9"/>
      <c r="AA62" s="198"/>
      <c r="AB62" s="198"/>
      <c r="AC62" s="198"/>
      <c r="AD62" s="198"/>
      <c r="AE62" s="198"/>
      <c r="AF62" s="198"/>
      <c r="AG62" s="198"/>
      <c r="AH62" s="198"/>
      <c r="AI62" s="198"/>
      <c r="AJ62" s="198"/>
      <c r="AK62" s="198"/>
      <c r="AL62" s="198"/>
    </row>
    <row r="63" ht="15.75" customHeight="1">
      <c r="A63" s="198"/>
      <c r="B63" s="198"/>
      <c r="C63" s="198"/>
      <c r="D63" s="198"/>
      <c r="E63" s="198"/>
      <c r="F63" s="198"/>
      <c r="G63" s="199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9"/>
      <c r="AA63" s="198"/>
      <c r="AB63" s="198"/>
      <c r="AC63" s="198"/>
      <c r="AD63" s="198"/>
      <c r="AE63" s="198"/>
      <c r="AF63" s="198"/>
      <c r="AG63" s="198"/>
      <c r="AH63" s="198"/>
      <c r="AI63" s="198"/>
      <c r="AJ63" s="198"/>
      <c r="AK63" s="198"/>
      <c r="AL63" s="198"/>
    </row>
    <row r="64" ht="15.75" customHeight="1">
      <c r="A64" s="198"/>
      <c r="B64" s="198"/>
      <c r="C64" s="198"/>
      <c r="D64" s="198"/>
      <c r="E64" s="198"/>
      <c r="F64" s="198"/>
      <c r="G64" s="199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9"/>
      <c r="AA64" s="198"/>
      <c r="AB64" s="198"/>
      <c r="AC64" s="198"/>
      <c r="AD64" s="198"/>
      <c r="AE64" s="198"/>
      <c r="AF64" s="198"/>
      <c r="AG64" s="198"/>
      <c r="AH64" s="198"/>
      <c r="AI64" s="198"/>
      <c r="AJ64" s="198"/>
      <c r="AK64" s="198"/>
      <c r="AL64" s="198"/>
    </row>
    <row r="65" ht="15.75" customHeight="1">
      <c r="A65" s="198"/>
      <c r="B65" s="198"/>
      <c r="C65" s="198"/>
      <c r="D65" s="198"/>
      <c r="E65" s="198"/>
      <c r="F65" s="198"/>
      <c r="G65" s="199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9"/>
      <c r="AA65" s="198"/>
      <c r="AB65" s="198"/>
      <c r="AC65" s="198"/>
      <c r="AD65" s="198"/>
      <c r="AE65" s="198"/>
      <c r="AF65" s="198"/>
      <c r="AG65" s="198"/>
      <c r="AH65" s="198"/>
      <c r="AI65" s="198"/>
      <c r="AJ65" s="198"/>
      <c r="AK65" s="198"/>
      <c r="AL65" s="198"/>
    </row>
    <row r="66" ht="15.75" customHeight="1">
      <c r="A66" s="198"/>
      <c r="B66" s="198"/>
      <c r="C66" s="198"/>
      <c r="D66" s="198"/>
      <c r="E66" s="198"/>
      <c r="F66" s="198"/>
      <c r="G66" s="199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9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  <c r="AK66" s="198"/>
      <c r="AL66" s="198"/>
    </row>
    <row r="67" ht="15.75" customHeight="1">
      <c r="A67" s="198"/>
      <c r="B67" s="198"/>
      <c r="C67" s="198"/>
      <c r="D67" s="198"/>
      <c r="E67" s="198"/>
      <c r="F67" s="198"/>
      <c r="G67" s="199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9"/>
      <c r="AA67" s="198"/>
      <c r="AB67" s="198"/>
      <c r="AC67" s="198"/>
      <c r="AD67" s="198"/>
      <c r="AE67" s="198"/>
      <c r="AF67" s="198"/>
      <c r="AG67" s="198"/>
      <c r="AH67" s="198"/>
      <c r="AI67" s="198"/>
      <c r="AJ67" s="198"/>
      <c r="AK67" s="198"/>
      <c r="AL67" s="198"/>
    </row>
    <row r="68" ht="15.75" customHeight="1">
      <c r="A68" s="198"/>
      <c r="B68" s="198"/>
      <c r="C68" s="198"/>
      <c r="D68" s="198"/>
      <c r="E68" s="198"/>
      <c r="F68" s="198"/>
      <c r="G68" s="199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9"/>
      <c r="AA68" s="198"/>
      <c r="AB68" s="198"/>
      <c r="AC68" s="198"/>
      <c r="AD68" s="198"/>
      <c r="AE68" s="198"/>
      <c r="AF68" s="198"/>
      <c r="AG68" s="198"/>
      <c r="AH68" s="198"/>
      <c r="AI68" s="198"/>
      <c r="AJ68" s="198"/>
      <c r="AK68" s="198"/>
      <c r="AL68" s="198"/>
    </row>
    <row r="69" ht="15.75" customHeight="1">
      <c r="A69" s="198"/>
      <c r="B69" s="198"/>
      <c r="C69" s="198"/>
      <c r="D69" s="198"/>
      <c r="E69" s="198"/>
      <c r="F69" s="198"/>
      <c r="G69" s="199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9"/>
      <c r="AA69" s="198"/>
      <c r="AB69" s="198"/>
      <c r="AC69" s="198"/>
      <c r="AD69" s="198"/>
      <c r="AE69" s="198"/>
      <c r="AF69" s="198"/>
      <c r="AG69" s="198"/>
      <c r="AH69" s="198"/>
      <c r="AI69" s="198"/>
      <c r="AJ69" s="198"/>
      <c r="AK69" s="198"/>
      <c r="AL69" s="198"/>
    </row>
    <row r="70" ht="15.75" customHeight="1">
      <c r="A70" s="198"/>
      <c r="B70" s="198"/>
      <c r="C70" s="198"/>
      <c r="D70" s="198"/>
      <c r="E70" s="198"/>
      <c r="F70" s="198"/>
      <c r="G70" s="199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9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</row>
    <row r="71" ht="15.75" customHeight="1">
      <c r="A71" s="198"/>
      <c r="B71" s="198"/>
      <c r="C71" s="198"/>
      <c r="D71" s="198"/>
      <c r="E71" s="198"/>
      <c r="F71" s="198"/>
      <c r="G71" s="199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9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</row>
    <row r="72" ht="15.75" customHeight="1">
      <c r="A72" s="198"/>
      <c r="B72" s="198"/>
      <c r="C72" s="198"/>
      <c r="D72" s="198"/>
      <c r="E72" s="198"/>
      <c r="F72" s="198"/>
      <c r="G72" s="199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9"/>
      <c r="AA72" s="198"/>
      <c r="AB72" s="198"/>
      <c r="AC72" s="198"/>
      <c r="AD72" s="198"/>
      <c r="AE72" s="198"/>
      <c r="AF72" s="198"/>
      <c r="AG72" s="198"/>
      <c r="AH72" s="198"/>
      <c r="AI72" s="198"/>
      <c r="AJ72" s="198"/>
      <c r="AK72" s="198"/>
      <c r="AL72" s="198"/>
    </row>
    <row r="73" ht="15.75" customHeight="1">
      <c r="A73" s="198"/>
      <c r="B73" s="198"/>
      <c r="C73" s="198"/>
      <c r="D73" s="198"/>
      <c r="E73" s="198"/>
      <c r="F73" s="198"/>
      <c r="G73" s="199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9"/>
      <c r="AA73" s="198"/>
      <c r="AB73" s="198"/>
      <c r="AC73" s="198"/>
      <c r="AD73" s="198"/>
      <c r="AE73" s="198"/>
      <c r="AF73" s="198"/>
      <c r="AG73" s="198"/>
      <c r="AH73" s="198"/>
      <c r="AI73" s="198"/>
      <c r="AJ73" s="198"/>
      <c r="AK73" s="198"/>
      <c r="AL73" s="198"/>
    </row>
    <row r="74" ht="15.75" customHeight="1">
      <c r="A74" s="198"/>
      <c r="B74" s="198"/>
      <c r="C74" s="198"/>
      <c r="D74" s="198"/>
      <c r="E74" s="198"/>
      <c r="F74" s="198"/>
      <c r="G74" s="199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9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198"/>
      <c r="AL74" s="198"/>
    </row>
    <row r="75" ht="15.75" customHeight="1">
      <c r="A75" s="198"/>
      <c r="B75" s="198"/>
      <c r="C75" s="198"/>
      <c r="D75" s="198"/>
      <c r="E75" s="198"/>
      <c r="F75" s="198"/>
      <c r="G75" s="199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9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8"/>
    </row>
    <row r="76" ht="15.75" customHeight="1">
      <c r="A76" s="198"/>
      <c r="B76" s="198"/>
      <c r="C76" s="198"/>
      <c r="D76" s="198"/>
      <c r="E76" s="198"/>
      <c r="F76" s="198"/>
      <c r="G76" s="199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9"/>
      <c r="AA76" s="198"/>
      <c r="AB76" s="198"/>
      <c r="AC76" s="198"/>
      <c r="AD76" s="198"/>
      <c r="AE76" s="198"/>
      <c r="AF76" s="198"/>
      <c r="AG76" s="198"/>
      <c r="AH76" s="198"/>
      <c r="AI76" s="198"/>
      <c r="AJ76" s="198"/>
      <c r="AK76" s="198"/>
      <c r="AL76" s="198"/>
    </row>
    <row r="77" ht="15.75" customHeight="1">
      <c r="A77" s="198"/>
      <c r="B77" s="198"/>
      <c r="C77" s="198"/>
      <c r="D77" s="198"/>
      <c r="E77" s="198"/>
      <c r="F77" s="198"/>
      <c r="G77" s="199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9"/>
      <c r="AA77" s="198"/>
      <c r="AB77" s="198"/>
      <c r="AC77" s="198"/>
      <c r="AD77" s="198"/>
      <c r="AE77" s="198"/>
      <c r="AF77" s="198"/>
      <c r="AG77" s="198"/>
      <c r="AH77" s="198"/>
      <c r="AI77" s="198"/>
      <c r="AJ77" s="198"/>
      <c r="AK77" s="198"/>
      <c r="AL77" s="198"/>
    </row>
    <row r="78" ht="15.75" customHeight="1">
      <c r="A78" s="198"/>
      <c r="B78" s="198"/>
      <c r="C78" s="198"/>
      <c r="D78" s="198"/>
      <c r="E78" s="198"/>
      <c r="F78" s="198"/>
      <c r="G78" s="199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9"/>
      <c r="AA78" s="198"/>
      <c r="AB78" s="198"/>
      <c r="AC78" s="198"/>
      <c r="AD78" s="198"/>
      <c r="AE78" s="198"/>
      <c r="AF78" s="198"/>
      <c r="AG78" s="198"/>
      <c r="AH78" s="198"/>
      <c r="AI78" s="198"/>
      <c r="AJ78" s="198"/>
      <c r="AK78" s="198"/>
      <c r="AL78" s="198"/>
    </row>
    <row r="79" ht="15.75" customHeight="1">
      <c r="A79" s="198"/>
      <c r="B79" s="198"/>
      <c r="C79" s="198"/>
      <c r="D79" s="198"/>
      <c r="E79" s="198"/>
      <c r="F79" s="198"/>
      <c r="G79" s="199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9"/>
      <c r="AA79" s="198"/>
      <c r="AB79" s="198"/>
      <c r="AC79" s="198"/>
      <c r="AD79" s="198"/>
      <c r="AE79" s="198"/>
      <c r="AF79" s="198"/>
      <c r="AG79" s="198"/>
      <c r="AH79" s="198"/>
      <c r="AI79" s="198"/>
      <c r="AJ79" s="198"/>
      <c r="AK79" s="198"/>
      <c r="AL79" s="198"/>
    </row>
    <row r="80" ht="15.75" customHeight="1">
      <c r="A80" s="198"/>
      <c r="B80" s="198"/>
      <c r="C80" s="198"/>
      <c r="D80" s="198"/>
      <c r="E80" s="198"/>
      <c r="F80" s="198"/>
      <c r="G80" s="199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9"/>
      <c r="AA80" s="198"/>
      <c r="AB80" s="198"/>
      <c r="AC80" s="198"/>
      <c r="AD80" s="198"/>
      <c r="AE80" s="198"/>
      <c r="AF80" s="198"/>
      <c r="AG80" s="198"/>
      <c r="AH80" s="198"/>
      <c r="AI80" s="198"/>
      <c r="AJ80" s="198"/>
      <c r="AK80" s="198"/>
      <c r="AL80" s="198"/>
    </row>
    <row r="81" ht="15.75" customHeight="1">
      <c r="A81" s="198"/>
      <c r="B81" s="198"/>
      <c r="C81" s="198"/>
      <c r="D81" s="198"/>
      <c r="E81" s="198"/>
      <c r="F81" s="198"/>
      <c r="G81" s="199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9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</row>
    <row r="82" ht="15.75" customHeight="1">
      <c r="A82" s="198"/>
      <c r="B82" s="198"/>
      <c r="C82" s="198"/>
      <c r="D82" s="198"/>
      <c r="E82" s="198"/>
      <c r="F82" s="198"/>
      <c r="G82" s="199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9"/>
      <c r="AA82" s="198"/>
      <c r="AB82" s="198"/>
      <c r="AC82" s="198"/>
      <c r="AD82" s="198"/>
      <c r="AE82" s="198"/>
      <c r="AF82" s="198"/>
      <c r="AG82" s="198"/>
      <c r="AH82" s="198"/>
      <c r="AI82" s="198"/>
      <c r="AJ82" s="198"/>
      <c r="AK82" s="198"/>
      <c r="AL82" s="198"/>
    </row>
    <row r="83" ht="15.75" customHeight="1">
      <c r="A83" s="198"/>
      <c r="B83" s="198"/>
      <c r="C83" s="198"/>
      <c r="D83" s="198"/>
      <c r="E83" s="198"/>
      <c r="F83" s="198"/>
      <c r="G83" s="199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9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</row>
    <row r="84" ht="15.75" customHeight="1">
      <c r="A84" s="198"/>
      <c r="B84" s="198"/>
      <c r="C84" s="198"/>
      <c r="D84" s="198"/>
      <c r="E84" s="198"/>
      <c r="F84" s="198"/>
      <c r="G84" s="199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9"/>
      <c r="AA84" s="198"/>
      <c r="AB84" s="198"/>
      <c r="AC84" s="198"/>
      <c r="AD84" s="198"/>
      <c r="AE84" s="198"/>
      <c r="AF84" s="198"/>
      <c r="AG84" s="198"/>
      <c r="AH84" s="198"/>
      <c r="AI84" s="198"/>
      <c r="AJ84" s="198"/>
      <c r="AK84" s="198"/>
      <c r="AL84" s="198"/>
    </row>
    <row r="85" ht="15.75" customHeight="1">
      <c r="A85" s="198"/>
      <c r="B85" s="198"/>
      <c r="C85" s="198"/>
      <c r="D85" s="198"/>
      <c r="E85" s="198"/>
      <c r="F85" s="198"/>
      <c r="G85" s="199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9"/>
      <c r="AA85" s="198"/>
      <c r="AB85" s="198"/>
      <c r="AC85" s="198"/>
      <c r="AD85" s="198"/>
      <c r="AE85" s="198"/>
      <c r="AF85" s="198"/>
      <c r="AG85" s="198"/>
      <c r="AH85" s="198"/>
      <c r="AI85" s="198"/>
      <c r="AJ85" s="198"/>
      <c r="AK85" s="198"/>
      <c r="AL85" s="198"/>
    </row>
    <row r="86" ht="15.75" customHeight="1">
      <c r="A86" s="198"/>
      <c r="B86" s="198"/>
      <c r="C86" s="198"/>
      <c r="D86" s="198"/>
      <c r="E86" s="198"/>
      <c r="F86" s="198"/>
      <c r="G86" s="199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9"/>
      <c r="AA86" s="198"/>
      <c r="AB86" s="198"/>
      <c r="AC86" s="198"/>
      <c r="AD86" s="198"/>
      <c r="AE86" s="198"/>
      <c r="AF86" s="198"/>
      <c r="AG86" s="198"/>
      <c r="AH86" s="198"/>
      <c r="AI86" s="198"/>
      <c r="AJ86" s="198"/>
      <c r="AK86" s="198"/>
      <c r="AL86" s="198"/>
    </row>
    <row r="87" ht="15.75" customHeight="1">
      <c r="A87" s="198"/>
      <c r="B87" s="198"/>
      <c r="C87" s="198"/>
      <c r="D87" s="198"/>
      <c r="E87" s="198"/>
      <c r="F87" s="198"/>
      <c r="G87" s="199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9"/>
      <c r="AA87" s="198"/>
      <c r="AB87" s="198"/>
      <c r="AC87" s="198"/>
      <c r="AD87" s="198"/>
      <c r="AE87" s="198"/>
      <c r="AF87" s="198"/>
      <c r="AG87" s="198"/>
      <c r="AH87" s="198"/>
      <c r="AI87" s="198"/>
      <c r="AJ87" s="198"/>
      <c r="AK87" s="198"/>
      <c r="AL87" s="198"/>
    </row>
    <row r="88" ht="15.75" customHeight="1">
      <c r="A88" s="198"/>
      <c r="B88" s="198"/>
      <c r="C88" s="198"/>
      <c r="D88" s="198"/>
      <c r="E88" s="198"/>
      <c r="F88" s="198"/>
      <c r="G88" s="199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9"/>
      <c r="AA88" s="198"/>
      <c r="AB88" s="198"/>
      <c r="AC88" s="198"/>
      <c r="AD88" s="198"/>
      <c r="AE88" s="198"/>
      <c r="AF88" s="198"/>
      <c r="AG88" s="198"/>
      <c r="AH88" s="198"/>
      <c r="AI88" s="198"/>
      <c r="AJ88" s="198"/>
      <c r="AK88" s="198"/>
      <c r="AL88" s="198"/>
    </row>
    <row r="89" ht="15.75" customHeight="1">
      <c r="A89" s="198"/>
      <c r="B89" s="198"/>
      <c r="C89" s="198"/>
      <c r="D89" s="198"/>
      <c r="E89" s="198"/>
      <c r="F89" s="198"/>
      <c r="G89" s="199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9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</row>
    <row r="90" ht="15.75" customHeight="1">
      <c r="A90" s="198"/>
      <c r="B90" s="198"/>
      <c r="C90" s="198"/>
      <c r="D90" s="198"/>
      <c r="E90" s="198"/>
      <c r="F90" s="198"/>
      <c r="G90" s="199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9"/>
      <c r="AA90" s="198"/>
      <c r="AB90" s="198"/>
      <c r="AC90" s="198"/>
      <c r="AD90" s="198"/>
      <c r="AE90" s="198"/>
      <c r="AF90" s="198"/>
      <c r="AG90" s="198"/>
      <c r="AH90" s="198"/>
      <c r="AI90" s="198"/>
      <c r="AJ90" s="198"/>
      <c r="AK90" s="198"/>
      <c r="AL90" s="198"/>
    </row>
    <row r="91" ht="15.75" customHeight="1">
      <c r="A91" s="198"/>
      <c r="B91" s="198"/>
      <c r="C91" s="198"/>
      <c r="D91" s="198"/>
      <c r="E91" s="198"/>
      <c r="F91" s="198"/>
      <c r="G91" s="199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9"/>
      <c r="AA91" s="198"/>
      <c r="AB91" s="198"/>
      <c r="AC91" s="198"/>
      <c r="AD91" s="198"/>
      <c r="AE91" s="198"/>
      <c r="AF91" s="198"/>
      <c r="AG91" s="198"/>
      <c r="AH91" s="198"/>
      <c r="AI91" s="198"/>
      <c r="AJ91" s="198"/>
      <c r="AK91" s="198"/>
      <c r="AL91" s="198"/>
    </row>
    <row r="92" ht="15.75" customHeight="1">
      <c r="A92" s="198"/>
      <c r="B92" s="198"/>
      <c r="C92" s="198"/>
      <c r="D92" s="198"/>
      <c r="E92" s="198"/>
      <c r="F92" s="198"/>
      <c r="G92" s="199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9"/>
      <c r="AA92" s="198"/>
      <c r="AB92" s="198"/>
      <c r="AC92" s="198"/>
      <c r="AD92" s="198"/>
      <c r="AE92" s="198"/>
      <c r="AF92" s="198"/>
      <c r="AG92" s="198"/>
      <c r="AH92" s="198"/>
      <c r="AI92" s="198"/>
      <c r="AJ92" s="198"/>
      <c r="AK92" s="198"/>
      <c r="AL92" s="198"/>
    </row>
    <row r="93" ht="15.75" customHeight="1">
      <c r="A93" s="198"/>
      <c r="B93" s="198"/>
      <c r="C93" s="198"/>
      <c r="D93" s="198"/>
      <c r="E93" s="198"/>
      <c r="F93" s="198"/>
      <c r="G93" s="199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9"/>
      <c r="AA93" s="198"/>
      <c r="AB93" s="198"/>
      <c r="AC93" s="198"/>
      <c r="AD93" s="198"/>
      <c r="AE93" s="198"/>
      <c r="AF93" s="198"/>
      <c r="AG93" s="198"/>
      <c r="AH93" s="198"/>
      <c r="AI93" s="198"/>
      <c r="AJ93" s="198"/>
      <c r="AK93" s="198"/>
      <c r="AL93" s="198"/>
    </row>
    <row r="94" ht="15.75" customHeight="1">
      <c r="A94" s="198"/>
      <c r="B94" s="198"/>
      <c r="C94" s="198"/>
      <c r="D94" s="198"/>
      <c r="E94" s="198"/>
      <c r="F94" s="198"/>
      <c r="G94" s="199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9"/>
      <c r="AA94" s="198"/>
      <c r="AB94" s="198"/>
      <c r="AC94" s="198"/>
      <c r="AD94" s="198"/>
      <c r="AE94" s="198"/>
      <c r="AF94" s="198"/>
      <c r="AG94" s="198"/>
      <c r="AH94" s="198"/>
      <c r="AI94" s="198"/>
      <c r="AJ94" s="198"/>
      <c r="AK94" s="198"/>
      <c r="AL94" s="198"/>
    </row>
    <row r="95" ht="15.75" customHeight="1">
      <c r="A95" s="198"/>
      <c r="B95" s="198"/>
      <c r="C95" s="198"/>
      <c r="D95" s="198"/>
      <c r="E95" s="198"/>
      <c r="F95" s="198"/>
      <c r="G95" s="199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9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</row>
    <row r="96" ht="15.75" customHeight="1">
      <c r="A96" s="198"/>
      <c r="B96" s="198"/>
      <c r="C96" s="198"/>
      <c r="D96" s="198"/>
      <c r="E96" s="198"/>
      <c r="F96" s="198"/>
      <c r="G96" s="199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9"/>
      <c r="AA96" s="198"/>
      <c r="AB96" s="198"/>
      <c r="AC96" s="198"/>
      <c r="AD96" s="198"/>
      <c r="AE96" s="198"/>
      <c r="AF96" s="198"/>
      <c r="AG96" s="198"/>
      <c r="AH96" s="198"/>
      <c r="AI96" s="198"/>
      <c r="AJ96" s="198"/>
      <c r="AK96" s="198"/>
      <c r="AL96" s="198"/>
    </row>
    <row r="97" ht="15.75" customHeight="1">
      <c r="A97" s="198"/>
      <c r="B97" s="198"/>
      <c r="C97" s="198"/>
      <c r="D97" s="198"/>
      <c r="E97" s="198"/>
      <c r="F97" s="198"/>
      <c r="G97" s="199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9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</row>
    <row r="98" ht="15.75" customHeight="1">
      <c r="A98" s="198"/>
      <c r="B98" s="198"/>
      <c r="C98" s="198"/>
      <c r="D98" s="198"/>
      <c r="E98" s="198"/>
      <c r="F98" s="198"/>
      <c r="G98" s="199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9"/>
      <c r="AA98" s="198"/>
      <c r="AB98" s="198"/>
      <c r="AC98" s="198"/>
      <c r="AD98" s="198"/>
      <c r="AE98" s="198"/>
      <c r="AF98" s="198"/>
      <c r="AG98" s="198"/>
      <c r="AH98" s="198"/>
      <c r="AI98" s="198"/>
      <c r="AJ98" s="198"/>
      <c r="AK98" s="198"/>
      <c r="AL98" s="198"/>
    </row>
    <row r="99" ht="15.75" customHeight="1">
      <c r="A99" s="198"/>
      <c r="B99" s="198"/>
      <c r="C99" s="198"/>
      <c r="D99" s="198"/>
      <c r="E99" s="198"/>
      <c r="F99" s="198"/>
      <c r="G99" s="199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9"/>
      <c r="AA99" s="198"/>
      <c r="AB99" s="198"/>
      <c r="AC99" s="198"/>
      <c r="AD99" s="198"/>
      <c r="AE99" s="198"/>
      <c r="AF99" s="198"/>
      <c r="AG99" s="198"/>
      <c r="AH99" s="198"/>
      <c r="AI99" s="198"/>
      <c r="AJ99" s="198"/>
      <c r="AK99" s="198"/>
      <c r="AL99" s="198"/>
    </row>
    <row r="100" ht="15.75" customHeight="1">
      <c r="A100" s="198"/>
      <c r="B100" s="198"/>
      <c r="C100" s="198"/>
      <c r="D100" s="198"/>
      <c r="E100" s="198"/>
      <c r="F100" s="198"/>
      <c r="G100" s="199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9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</row>
    <row r="101" ht="15.75" customHeight="1">
      <c r="A101" s="198"/>
      <c r="B101" s="198"/>
      <c r="C101" s="198"/>
      <c r="D101" s="198"/>
      <c r="E101" s="198"/>
      <c r="F101" s="198"/>
      <c r="G101" s="199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9"/>
      <c r="AA101" s="198"/>
      <c r="AB101" s="198"/>
      <c r="AC101" s="198"/>
      <c r="AD101" s="198"/>
      <c r="AE101" s="198"/>
      <c r="AF101" s="198"/>
      <c r="AG101" s="198"/>
      <c r="AH101" s="198"/>
      <c r="AI101" s="198"/>
      <c r="AJ101" s="198"/>
      <c r="AK101" s="198"/>
      <c r="AL101" s="198"/>
    </row>
    <row r="102" ht="15.75" customHeight="1">
      <c r="A102" s="198"/>
      <c r="B102" s="198"/>
      <c r="C102" s="198"/>
      <c r="D102" s="198"/>
      <c r="E102" s="198"/>
      <c r="F102" s="198"/>
      <c r="G102" s="199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9"/>
      <c r="AA102" s="198"/>
      <c r="AB102" s="198"/>
      <c r="AC102" s="198"/>
      <c r="AD102" s="198"/>
      <c r="AE102" s="198"/>
      <c r="AF102" s="198"/>
      <c r="AG102" s="198"/>
      <c r="AH102" s="198"/>
      <c r="AI102" s="198"/>
      <c r="AJ102" s="198"/>
      <c r="AK102" s="198"/>
      <c r="AL102" s="198"/>
    </row>
    <row r="103" ht="15.75" customHeight="1">
      <c r="A103" s="198"/>
      <c r="B103" s="198"/>
      <c r="C103" s="198"/>
      <c r="D103" s="198"/>
      <c r="E103" s="198"/>
      <c r="F103" s="198"/>
      <c r="G103" s="199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9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</row>
    <row r="104" ht="15.75" customHeight="1">
      <c r="A104" s="198"/>
      <c r="B104" s="198"/>
      <c r="C104" s="198"/>
      <c r="D104" s="198"/>
      <c r="E104" s="198"/>
      <c r="F104" s="198"/>
      <c r="G104" s="199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9"/>
      <c r="AA104" s="198"/>
      <c r="AB104" s="198"/>
      <c r="AC104" s="198"/>
      <c r="AD104" s="198"/>
      <c r="AE104" s="198"/>
      <c r="AF104" s="198"/>
      <c r="AG104" s="198"/>
      <c r="AH104" s="198"/>
      <c r="AI104" s="198"/>
      <c r="AJ104" s="198"/>
      <c r="AK104" s="198"/>
      <c r="AL104" s="198"/>
    </row>
    <row r="105" ht="15.75" customHeight="1">
      <c r="A105" s="198"/>
      <c r="B105" s="198"/>
      <c r="C105" s="198"/>
      <c r="D105" s="198"/>
      <c r="E105" s="198"/>
      <c r="F105" s="198"/>
      <c r="G105" s="199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9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</row>
    <row r="106" ht="15.75" customHeight="1">
      <c r="A106" s="198"/>
      <c r="B106" s="198"/>
      <c r="C106" s="198"/>
      <c r="D106" s="198"/>
      <c r="E106" s="198"/>
      <c r="F106" s="198"/>
      <c r="G106" s="199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9"/>
      <c r="AA106" s="198"/>
      <c r="AB106" s="198"/>
      <c r="AC106" s="198"/>
      <c r="AD106" s="198"/>
      <c r="AE106" s="198"/>
      <c r="AF106" s="198"/>
      <c r="AG106" s="198"/>
      <c r="AH106" s="198"/>
      <c r="AI106" s="198"/>
      <c r="AJ106" s="198"/>
      <c r="AK106" s="198"/>
      <c r="AL106" s="198"/>
    </row>
    <row r="107" ht="15.75" customHeight="1">
      <c r="A107" s="198"/>
      <c r="B107" s="198"/>
      <c r="C107" s="198"/>
      <c r="D107" s="198"/>
      <c r="E107" s="198"/>
      <c r="F107" s="198"/>
      <c r="G107" s="199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9"/>
      <c r="AA107" s="198"/>
      <c r="AB107" s="198"/>
      <c r="AC107" s="198"/>
      <c r="AD107" s="198"/>
      <c r="AE107" s="198"/>
      <c r="AF107" s="198"/>
      <c r="AG107" s="198"/>
      <c r="AH107" s="198"/>
      <c r="AI107" s="198"/>
      <c r="AJ107" s="198"/>
      <c r="AK107" s="198"/>
      <c r="AL107" s="198"/>
    </row>
    <row r="108" ht="15.75" customHeight="1">
      <c r="A108" s="198"/>
      <c r="B108" s="198"/>
      <c r="C108" s="198"/>
      <c r="D108" s="198"/>
      <c r="E108" s="198"/>
      <c r="F108" s="198"/>
      <c r="G108" s="199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9"/>
      <c r="AA108" s="198"/>
      <c r="AB108" s="198"/>
      <c r="AC108" s="198"/>
      <c r="AD108" s="198"/>
      <c r="AE108" s="198"/>
      <c r="AF108" s="198"/>
      <c r="AG108" s="198"/>
      <c r="AH108" s="198"/>
      <c r="AI108" s="198"/>
      <c r="AJ108" s="198"/>
      <c r="AK108" s="198"/>
      <c r="AL108" s="198"/>
    </row>
    <row r="109" ht="15.75" customHeight="1">
      <c r="A109" s="198"/>
      <c r="B109" s="198"/>
      <c r="C109" s="198"/>
      <c r="D109" s="198"/>
      <c r="E109" s="198"/>
      <c r="F109" s="198"/>
      <c r="G109" s="199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9"/>
      <c r="AA109" s="198"/>
      <c r="AB109" s="198"/>
      <c r="AC109" s="198"/>
      <c r="AD109" s="198"/>
      <c r="AE109" s="198"/>
      <c r="AF109" s="198"/>
      <c r="AG109" s="198"/>
      <c r="AH109" s="198"/>
      <c r="AI109" s="198"/>
      <c r="AJ109" s="198"/>
      <c r="AK109" s="198"/>
      <c r="AL109" s="198"/>
    </row>
    <row r="110" ht="15.75" customHeight="1">
      <c r="A110" s="198"/>
      <c r="B110" s="198"/>
      <c r="C110" s="198"/>
      <c r="D110" s="198"/>
      <c r="E110" s="198"/>
      <c r="F110" s="198"/>
      <c r="G110" s="199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9"/>
      <c r="AA110" s="198"/>
      <c r="AB110" s="198"/>
      <c r="AC110" s="198"/>
      <c r="AD110" s="198"/>
      <c r="AE110" s="198"/>
      <c r="AF110" s="198"/>
      <c r="AG110" s="198"/>
      <c r="AH110" s="198"/>
      <c r="AI110" s="198"/>
      <c r="AJ110" s="198"/>
      <c r="AK110" s="198"/>
      <c r="AL110" s="198"/>
    </row>
    <row r="111" ht="15.75" customHeight="1">
      <c r="A111" s="198"/>
      <c r="B111" s="198"/>
      <c r="C111" s="198"/>
      <c r="D111" s="198"/>
      <c r="E111" s="198"/>
      <c r="F111" s="198"/>
      <c r="G111" s="199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9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</row>
    <row r="112" ht="15.75" customHeight="1">
      <c r="A112" s="198"/>
      <c r="B112" s="198"/>
      <c r="C112" s="198"/>
      <c r="D112" s="198"/>
      <c r="E112" s="198"/>
      <c r="F112" s="198"/>
      <c r="G112" s="199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9"/>
      <c r="AA112" s="198"/>
      <c r="AB112" s="198"/>
      <c r="AC112" s="198"/>
      <c r="AD112" s="198"/>
      <c r="AE112" s="198"/>
      <c r="AF112" s="198"/>
      <c r="AG112" s="198"/>
      <c r="AH112" s="198"/>
      <c r="AI112" s="198"/>
      <c r="AJ112" s="198"/>
      <c r="AK112" s="198"/>
      <c r="AL112" s="198"/>
    </row>
    <row r="113" ht="15.75" customHeight="1">
      <c r="A113" s="198"/>
      <c r="B113" s="198"/>
      <c r="C113" s="198"/>
      <c r="D113" s="198"/>
      <c r="E113" s="198"/>
      <c r="F113" s="198"/>
      <c r="G113" s="199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9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</row>
    <row r="114" ht="15.75" customHeight="1">
      <c r="A114" s="198"/>
      <c r="B114" s="198"/>
      <c r="C114" s="198"/>
      <c r="D114" s="198"/>
      <c r="E114" s="198"/>
      <c r="F114" s="198"/>
      <c r="G114" s="199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9"/>
      <c r="AA114" s="198"/>
      <c r="AB114" s="198"/>
      <c r="AC114" s="198"/>
      <c r="AD114" s="198"/>
      <c r="AE114" s="198"/>
      <c r="AF114" s="198"/>
      <c r="AG114" s="198"/>
      <c r="AH114" s="198"/>
      <c r="AI114" s="198"/>
      <c r="AJ114" s="198"/>
      <c r="AK114" s="198"/>
      <c r="AL114" s="198"/>
    </row>
    <row r="115" ht="15.75" customHeight="1">
      <c r="A115" s="198"/>
      <c r="B115" s="198"/>
      <c r="C115" s="198"/>
      <c r="D115" s="198"/>
      <c r="E115" s="198"/>
      <c r="F115" s="198"/>
      <c r="G115" s="199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9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</row>
    <row r="116" ht="15.75" customHeight="1">
      <c r="A116" s="198"/>
      <c r="B116" s="198"/>
      <c r="C116" s="198"/>
      <c r="D116" s="198"/>
      <c r="E116" s="198"/>
      <c r="F116" s="198"/>
      <c r="G116" s="199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9"/>
      <c r="AA116" s="198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</row>
    <row r="117" ht="15.75" customHeight="1">
      <c r="A117" s="198"/>
      <c r="B117" s="198"/>
      <c r="C117" s="198"/>
      <c r="D117" s="198"/>
      <c r="E117" s="198"/>
      <c r="F117" s="198"/>
      <c r="G117" s="199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9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</row>
    <row r="118" ht="15.75" customHeight="1">
      <c r="A118" s="198"/>
      <c r="B118" s="198"/>
      <c r="C118" s="198"/>
      <c r="D118" s="198"/>
      <c r="E118" s="198"/>
      <c r="F118" s="198"/>
      <c r="G118" s="199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9"/>
      <c r="AA118" s="198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</row>
    <row r="119" ht="15.75" customHeight="1">
      <c r="A119" s="198"/>
      <c r="B119" s="198"/>
      <c r="C119" s="198"/>
      <c r="D119" s="198"/>
      <c r="E119" s="198"/>
      <c r="F119" s="198"/>
      <c r="G119" s="199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9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</row>
    <row r="120" ht="15.75" customHeight="1">
      <c r="A120" s="198"/>
      <c r="B120" s="198"/>
      <c r="C120" s="198"/>
      <c r="D120" s="198"/>
      <c r="E120" s="198"/>
      <c r="F120" s="198"/>
      <c r="G120" s="199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9"/>
      <c r="AA120" s="198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</row>
    <row r="121" ht="15.75" customHeight="1">
      <c r="A121" s="198"/>
      <c r="B121" s="198"/>
      <c r="C121" s="198"/>
      <c r="D121" s="198"/>
      <c r="E121" s="198"/>
      <c r="F121" s="198"/>
      <c r="G121" s="199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9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</row>
    <row r="122" ht="15.75" customHeight="1">
      <c r="A122" s="198"/>
      <c r="B122" s="198"/>
      <c r="C122" s="198"/>
      <c r="D122" s="198"/>
      <c r="E122" s="198"/>
      <c r="F122" s="198"/>
      <c r="G122" s="199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9"/>
      <c r="AA122" s="198"/>
      <c r="AB122" s="198"/>
      <c r="AC122" s="198"/>
      <c r="AD122" s="198"/>
      <c r="AE122" s="198"/>
      <c r="AF122" s="198"/>
      <c r="AG122" s="198"/>
      <c r="AH122" s="198"/>
      <c r="AI122" s="198"/>
      <c r="AJ122" s="198"/>
      <c r="AK122" s="198"/>
      <c r="AL122" s="198"/>
    </row>
    <row r="123" ht="15.75" customHeight="1">
      <c r="A123" s="198"/>
      <c r="B123" s="198"/>
      <c r="C123" s="198"/>
      <c r="D123" s="198"/>
      <c r="E123" s="198"/>
      <c r="F123" s="198"/>
      <c r="G123" s="199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9"/>
      <c r="AA123" s="198"/>
      <c r="AB123" s="198"/>
      <c r="AC123" s="198"/>
      <c r="AD123" s="198"/>
      <c r="AE123" s="198"/>
      <c r="AF123" s="198"/>
      <c r="AG123" s="198"/>
      <c r="AH123" s="198"/>
      <c r="AI123" s="198"/>
      <c r="AJ123" s="198"/>
      <c r="AK123" s="198"/>
      <c r="AL123" s="198"/>
    </row>
    <row r="124" ht="15.75" customHeight="1">
      <c r="A124" s="198"/>
      <c r="B124" s="198"/>
      <c r="C124" s="198"/>
      <c r="D124" s="198"/>
      <c r="E124" s="198"/>
      <c r="F124" s="198"/>
      <c r="G124" s="199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9"/>
      <c r="AA124" s="198"/>
      <c r="AB124" s="198"/>
      <c r="AC124" s="198"/>
      <c r="AD124" s="198"/>
      <c r="AE124" s="198"/>
      <c r="AF124" s="198"/>
      <c r="AG124" s="198"/>
      <c r="AH124" s="198"/>
      <c r="AI124" s="198"/>
      <c r="AJ124" s="198"/>
      <c r="AK124" s="198"/>
      <c r="AL124" s="198"/>
    </row>
    <row r="125" ht="15.75" customHeight="1">
      <c r="A125" s="198"/>
      <c r="B125" s="198"/>
      <c r="C125" s="198"/>
      <c r="D125" s="198"/>
      <c r="E125" s="198"/>
      <c r="F125" s="198"/>
      <c r="G125" s="199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9"/>
      <c r="AA125" s="198"/>
      <c r="AB125" s="198"/>
      <c r="AC125" s="198"/>
      <c r="AD125" s="198"/>
      <c r="AE125" s="198"/>
      <c r="AF125" s="198"/>
      <c r="AG125" s="198"/>
      <c r="AH125" s="198"/>
      <c r="AI125" s="198"/>
      <c r="AJ125" s="198"/>
      <c r="AK125" s="198"/>
      <c r="AL125" s="198"/>
    </row>
    <row r="126" ht="15.75" customHeight="1">
      <c r="A126" s="198"/>
      <c r="B126" s="198"/>
      <c r="C126" s="198"/>
      <c r="D126" s="198"/>
      <c r="E126" s="198"/>
      <c r="F126" s="198"/>
      <c r="G126" s="199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9"/>
      <c r="AA126" s="198"/>
      <c r="AB126" s="198"/>
      <c r="AC126" s="198"/>
      <c r="AD126" s="198"/>
      <c r="AE126" s="198"/>
      <c r="AF126" s="198"/>
      <c r="AG126" s="198"/>
      <c r="AH126" s="198"/>
      <c r="AI126" s="198"/>
      <c r="AJ126" s="198"/>
      <c r="AK126" s="198"/>
      <c r="AL126" s="198"/>
    </row>
    <row r="127" ht="15.75" customHeight="1">
      <c r="A127" s="198"/>
      <c r="B127" s="198"/>
      <c r="C127" s="198"/>
      <c r="D127" s="198"/>
      <c r="E127" s="198"/>
      <c r="F127" s="198"/>
      <c r="G127" s="199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9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</row>
    <row r="128" ht="15.75" customHeight="1">
      <c r="A128" s="198"/>
      <c r="B128" s="198"/>
      <c r="C128" s="198"/>
      <c r="D128" s="198"/>
      <c r="E128" s="198"/>
      <c r="F128" s="198"/>
      <c r="G128" s="199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9"/>
      <c r="AA128" s="198"/>
      <c r="AB128" s="198"/>
      <c r="AC128" s="198"/>
      <c r="AD128" s="198"/>
      <c r="AE128" s="198"/>
      <c r="AF128" s="198"/>
      <c r="AG128" s="198"/>
      <c r="AH128" s="198"/>
      <c r="AI128" s="198"/>
      <c r="AJ128" s="198"/>
      <c r="AK128" s="198"/>
      <c r="AL128" s="198"/>
    </row>
    <row r="129" ht="15.75" customHeight="1">
      <c r="A129" s="198"/>
      <c r="B129" s="198"/>
      <c r="C129" s="198"/>
      <c r="D129" s="198"/>
      <c r="E129" s="198"/>
      <c r="F129" s="198"/>
      <c r="G129" s="199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9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</row>
    <row r="130" ht="15.75" customHeight="1">
      <c r="A130" s="198"/>
      <c r="B130" s="198"/>
      <c r="C130" s="198"/>
      <c r="D130" s="198"/>
      <c r="E130" s="198"/>
      <c r="F130" s="198"/>
      <c r="G130" s="199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9"/>
      <c r="AA130" s="198"/>
      <c r="AB130" s="198"/>
      <c r="AC130" s="198"/>
      <c r="AD130" s="198"/>
      <c r="AE130" s="198"/>
      <c r="AF130" s="198"/>
      <c r="AG130" s="198"/>
      <c r="AH130" s="198"/>
      <c r="AI130" s="198"/>
      <c r="AJ130" s="198"/>
      <c r="AK130" s="198"/>
      <c r="AL130" s="198"/>
    </row>
    <row r="131" ht="15.75" customHeight="1">
      <c r="A131" s="198"/>
      <c r="B131" s="198"/>
      <c r="C131" s="198"/>
      <c r="D131" s="198"/>
      <c r="E131" s="198"/>
      <c r="F131" s="198"/>
      <c r="G131" s="199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9"/>
      <c r="AA131" s="198"/>
      <c r="AB131" s="198"/>
      <c r="AC131" s="198"/>
      <c r="AD131" s="198"/>
      <c r="AE131" s="198"/>
      <c r="AF131" s="198"/>
      <c r="AG131" s="198"/>
      <c r="AH131" s="198"/>
      <c r="AI131" s="198"/>
      <c r="AJ131" s="198"/>
      <c r="AK131" s="198"/>
      <c r="AL131" s="198"/>
    </row>
    <row r="132" ht="15.75" customHeight="1">
      <c r="A132" s="198"/>
      <c r="B132" s="198"/>
      <c r="C132" s="198"/>
      <c r="D132" s="198"/>
      <c r="E132" s="198"/>
      <c r="F132" s="198"/>
      <c r="G132" s="199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9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</row>
    <row r="133" ht="15.75" customHeight="1">
      <c r="A133" s="198"/>
      <c r="B133" s="198"/>
      <c r="C133" s="198"/>
      <c r="D133" s="198"/>
      <c r="E133" s="198"/>
      <c r="F133" s="198"/>
      <c r="G133" s="199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9"/>
      <c r="AA133" s="198"/>
      <c r="AB133" s="198"/>
      <c r="AC133" s="198"/>
      <c r="AD133" s="198"/>
      <c r="AE133" s="198"/>
      <c r="AF133" s="198"/>
      <c r="AG133" s="198"/>
      <c r="AH133" s="198"/>
      <c r="AI133" s="198"/>
      <c r="AJ133" s="198"/>
      <c r="AK133" s="198"/>
      <c r="AL133" s="198"/>
    </row>
    <row r="134" ht="15.75" customHeight="1">
      <c r="A134" s="198"/>
      <c r="B134" s="198"/>
      <c r="C134" s="198"/>
      <c r="D134" s="198"/>
      <c r="E134" s="198"/>
      <c r="F134" s="198"/>
      <c r="G134" s="199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9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</row>
    <row r="135" ht="15.75" customHeight="1">
      <c r="A135" s="198"/>
      <c r="B135" s="198"/>
      <c r="C135" s="198"/>
      <c r="D135" s="198"/>
      <c r="E135" s="198"/>
      <c r="F135" s="198"/>
      <c r="G135" s="199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9"/>
      <c r="AA135" s="198"/>
      <c r="AB135" s="198"/>
      <c r="AC135" s="198"/>
      <c r="AD135" s="198"/>
      <c r="AE135" s="198"/>
      <c r="AF135" s="198"/>
      <c r="AG135" s="198"/>
      <c r="AH135" s="198"/>
      <c r="AI135" s="198"/>
      <c r="AJ135" s="198"/>
      <c r="AK135" s="198"/>
      <c r="AL135" s="198"/>
    </row>
    <row r="136" ht="15.75" customHeight="1">
      <c r="A136" s="198"/>
      <c r="B136" s="198"/>
      <c r="C136" s="198"/>
      <c r="D136" s="198"/>
      <c r="E136" s="198"/>
      <c r="F136" s="198"/>
      <c r="G136" s="199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9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</row>
    <row r="137" ht="15.75" customHeight="1">
      <c r="A137" s="198"/>
      <c r="B137" s="198"/>
      <c r="C137" s="198"/>
      <c r="D137" s="198"/>
      <c r="E137" s="198"/>
      <c r="F137" s="198"/>
      <c r="G137" s="199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9"/>
      <c r="AA137" s="198"/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</row>
    <row r="138" ht="15.75" customHeight="1">
      <c r="A138" s="198"/>
      <c r="B138" s="198"/>
      <c r="C138" s="198"/>
      <c r="D138" s="198"/>
      <c r="E138" s="198"/>
      <c r="F138" s="198"/>
      <c r="G138" s="199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9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</row>
    <row r="139" ht="15.75" customHeight="1">
      <c r="A139" s="198"/>
      <c r="B139" s="198"/>
      <c r="C139" s="198"/>
      <c r="D139" s="198"/>
      <c r="E139" s="198"/>
      <c r="F139" s="198"/>
      <c r="G139" s="199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9"/>
      <c r="AA139" s="198"/>
      <c r="AB139" s="198"/>
      <c r="AC139" s="198"/>
      <c r="AD139" s="198"/>
      <c r="AE139" s="198"/>
      <c r="AF139" s="198"/>
      <c r="AG139" s="198"/>
      <c r="AH139" s="198"/>
      <c r="AI139" s="198"/>
      <c r="AJ139" s="198"/>
      <c r="AK139" s="198"/>
      <c r="AL139" s="198"/>
    </row>
    <row r="140" ht="15.75" customHeight="1">
      <c r="A140" s="198"/>
      <c r="B140" s="198"/>
      <c r="C140" s="198"/>
      <c r="D140" s="198"/>
      <c r="E140" s="198"/>
      <c r="F140" s="198"/>
      <c r="G140" s="199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9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</row>
    <row r="141" ht="15.75" customHeight="1">
      <c r="A141" s="198"/>
      <c r="B141" s="198"/>
      <c r="C141" s="198"/>
      <c r="D141" s="198"/>
      <c r="E141" s="198"/>
      <c r="F141" s="198"/>
      <c r="G141" s="199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9"/>
      <c r="AA141" s="198"/>
      <c r="AB141" s="198"/>
      <c r="AC141" s="198"/>
      <c r="AD141" s="198"/>
      <c r="AE141" s="198"/>
      <c r="AF141" s="198"/>
      <c r="AG141" s="198"/>
      <c r="AH141" s="198"/>
      <c r="AI141" s="198"/>
      <c r="AJ141" s="198"/>
      <c r="AK141" s="198"/>
      <c r="AL141" s="198"/>
    </row>
    <row r="142" ht="15.75" customHeight="1">
      <c r="A142" s="198"/>
      <c r="B142" s="198"/>
      <c r="C142" s="198"/>
      <c r="D142" s="198"/>
      <c r="E142" s="198"/>
      <c r="F142" s="198"/>
      <c r="G142" s="199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9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</row>
    <row r="143" ht="15.75" customHeight="1">
      <c r="A143" s="198"/>
      <c r="B143" s="198"/>
      <c r="C143" s="198"/>
      <c r="D143" s="198"/>
      <c r="E143" s="198"/>
      <c r="F143" s="198"/>
      <c r="G143" s="199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9"/>
      <c r="AA143" s="198"/>
      <c r="AB143" s="198"/>
      <c r="AC143" s="198"/>
      <c r="AD143" s="198"/>
      <c r="AE143" s="198"/>
      <c r="AF143" s="198"/>
      <c r="AG143" s="198"/>
      <c r="AH143" s="198"/>
      <c r="AI143" s="198"/>
      <c r="AJ143" s="198"/>
      <c r="AK143" s="198"/>
      <c r="AL143" s="198"/>
    </row>
    <row r="144" ht="15.75" customHeight="1">
      <c r="A144" s="198"/>
      <c r="B144" s="198"/>
      <c r="C144" s="198"/>
      <c r="D144" s="198"/>
      <c r="E144" s="198"/>
      <c r="F144" s="198"/>
      <c r="G144" s="199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9"/>
      <c r="AA144" s="198"/>
      <c r="AB144" s="198"/>
      <c r="AC144" s="198"/>
      <c r="AD144" s="198"/>
      <c r="AE144" s="198"/>
      <c r="AF144" s="198"/>
      <c r="AG144" s="198"/>
      <c r="AH144" s="198"/>
      <c r="AI144" s="198"/>
      <c r="AJ144" s="198"/>
      <c r="AK144" s="198"/>
      <c r="AL144" s="198"/>
    </row>
    <row r="145" ht="15.75" customHeight="1">
      <c r="A145" s="198"/>
      <c r="B145" s="198"/>
      <c r="C145" s="198"/>
      <c r="D145" s="198"/>
      <c r="E145" s="198"/>
      <c r="F145" s="198"/>
      <c r="G145" s="199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9"/>
      <c r="AA145" s="198"/>
      <c r="AB145" s="198"/>
      <c r="AC145" s="198"/>
      <c r="AD145" s="198"/>
      <c r="AE145" s="198"/>
      <c r="AF145" s="198"/>
      <c r="AG145" s="198"/>
      <c r="AH145" s="198"/>
      <c r="AI145" s="198"/>
      <c r="AJ145" s="198"/>
      <c r="AK145" s="198"/>
      <c r="AL145" s="198"/>
    </row>
    <row r="146" ht="15.75" customHeight="1">
      <c r="A146" s="198"/>
      <c r="B146" s="198"/>
      <c r="C146" s="198"/>
      <c r="D146" s="198"/>
      <c r="E146" s="198"/>
      <c r="F146" s="198"/>
      <c r="G146" s="199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9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</row>
    <row r="147" ht="15.75" customHeight="1">
      <c r="A147" s="198"/>
      <c r="B147" s="198"/>
      <c r="C147" s="198"/>
      <c r="D147" s="198"/>
      <c r="E147" s="198"/>
      <c r="F147" s="198"/>
      <c r="G147" s="199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9"/>
      <c r="AA147" s="198"/>
      <c r="AB147" s="198"/>
      <c r="AC147" s="198"/>
      <c r="AD147" s="198"/>
      <c r="AE147" s="198"/>
      <c r="AF147" s="198"/>
      <c r="AG147" s="198"/>
      <c r="AH147" s="198"/>
      <c r="AI147" s="198"/>
      <c r="AJ147" s="198"/>
      <c r="AK147" s="198"/>
      <c r="AL147" s="198"/>
    </row>
    <row r="148" ht="15.75" customHeight="1">
      <c r="A148" s="198"/>
      <c r="B148" s="198"/>
      <c r="C148" s="198"/>
      <c r="D148" s="198"/>
      <c r="E148" s="198"/>
      <c r="F148" s="198"/>
      <c r="G148" s="199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9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</row>
    <row r="149" ht="15.75" customHeight="1">
      <c r="A149" s="198"/>
      <c r="B149" s="198"/>
      <c r="C149" s="198"/>
      <c r="D149" s="198"/>
      <c r="E149" s="198"/>
      <c r="F149" s="198"/>
      <c r="G149" s="199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9"/>
      <c r="AA149" s="198"/>
      <c r="AB149" s="198"/>
      <c r="AC149" s="198"/>
      <c r="AD149" s="198"/>
      <c r="AE149" s="198"/>
      <c r="AF149" s="198"/>
      <c r="AG149" s="198"/>
      <c r="AH149" s="198"/>
      <c r="AI149" s="198"/>
      <c r="AJ149" s="198"/>
      <c r="AK149" s="198"/>
      <c r="AL149" s="198"/>
    </row>
    <row r="150" ht="15.75" customHeight="1">
      <c r="A150" s="198"/>
      <c r="B150" s="198"/>
      <c r="C150" s="198"/>
      <c r="D150" s="198"/>
      <c r="E150" s="198"/>
      <c r="F150" s="198"/>
      <c r="G150" s="199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9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</row>
    <row r="151" ht="15.75" customHeight="1">
      <c r="A151" s="198"/>
      <c r="B151" s="198"/>
      <c r="C151" s="198"/>
      <c r="D151" s="198"/>
      <c r="E151" s="198"/>
      <c r="F151" s="198"/>
      <c r="G151" s="199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9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</row>
    <row r="152" ht="15.75" customHeight="1">
      <c r="A152" s="198"/>
      <c r="B152" s="198"/>
      <c r="C152" s="198"/>
      <c r="D152" s="198"/>
      <c r="E152" s="198"/>
      <c r="F152" s="198"/>
      <c r="G152" s="199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</row>
    <row r="153" ht="15.75" customHeight="1">
      <c r="A153" s="198"/>
      <c r="B153" s="198"/>
      <c r="C153" s="198"/>
      <c r="D153" s="198"/>
      <c r="E153" s="198"/>
      <c r="F153" s="198"/>
      <c r="G153" s="199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9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</row>
    <row r="154" ht="15.75" customHeight="1">
      <c r="A154" s="198"/>
      <c r="B154" s="198"/>
      <c r="C154" s="198"/>
      <c r="D154" s="198"/>
      <c r="E154" s="198"/>
      <c r="F154" s="198"/>
      <c r="G154" s="199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9"/>
      <c r="AA154" s="198"/>
      <c r="AB154" s="198"/>
      <c r="AC154" s="198"/>
      <c r="AD154" s="198"/>
      <c r="AE154" s="198"/>
      <c r="AF154" s="198"/>
      <c r="AG154" s="198"/>
      <c r="AH154" s="198"/>
      <c r="AI154" s="198"/>
      <c r="AJ154" s="198"/>
      <c r="AK154" s="198"/>
      <c r="AL154" s="198"/>
    </row>
    <row r="155" ht="15.75" customHeight="1">
      <c r="A155" s="198"/>
      <c r="B155" s="198"/>
      <c r="C155" s="198"/>
      <c r="D155" s="198"/>
      <c r="E155" s="198"/>
      <c r="F155" s="198"/>
      <c r="G155" s="199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9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</row>
    <row r="156" ht="15.75" customHeight="1">
      <c r="A156" s="198"/>
      <c r="B156" s="198"/>
      <c r="C156" s="198"/>
      <c r="D156" s="198"/>
      <c r="E156" s="198"/>
      <c r="F156" s="198"/>
      <c r="G156" s="199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9"/>
      <c r="AA156" s="198"/>
      <c r="AB156" s="198"/>
      <c r="AC156" s="198"/>
      <c r="AD156" s="198"/>
      <c r="AE156" s="198"/>
      <c r="AF156" s="198"/>
      <c r="AG156" s="198"/>
      <c r="AH156" s="198"/>
      <c r="AI156" s="198"/>
      <c r="AJ156" s="198"/>
      <c r="AK156" s="198"/>
      <c r="AL156" s="198"/>
    </row>
    <row r="157" ht="15.75" customHeight="1">
      <c r="A157" s="198"/>
      <c r="B157" s="198"/>
      <c r="C157" s="198"/>
      <c r="D157" s="198"/>
      <c r="E157" s="198"/>
      <c r="F157" s="198"/>
      <c r="G157" s="199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9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</row>
    <row r="158" ht="15.75" customHeight="1">
      <c r="A158" s="198"/>
      <c r="B158" s="198"/>
      <c r="C158" s="198"/>
      <c r="D158" s="198"/>
      <c r="E158" s="198"/>
      <c r="F158" s="198"/>
      <c r="G158" s="199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9"/>
      <c r="AA158" s="198"/>
      <c r="AB158" s="198"/>
      <c r="AC158" s="198"/>
      <c r="AD158" s="198"/>
      <c r="AE158" s="198"/>
      <c r="AF158" s="198"/>
      <c r="AG158" s="198"/>
      <c r="AH158" s="198"/>
      <c r="AI158" s="198"/>
      <c r="AJ158" s="198"/>
      <c r="AK158" s="198"/>
      <c r="AL158" s="198"/>
    </row>
    <row r="159" ht="15.75" customHeight="1">
      <c r="A159" s="198"/>
      <c r="B159" s="198"/>
      <c r="C159" s="198"/>
      <c r="D159" s="198"/>
      <c r="E159" s="198"/>
      <c r="F159" s="198"/>
      <c r="G159" s="199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9"/>
      <c r="AA159" s="198"/>
      <c r="AB159" s="198"/>
      <c r="AC159" s="198"/>
      <c r="AD159" s="198"/>
      <c r="AE159" s="198"/>
      <c r="AF159" s="198"/>
      <c r="AG159" s="198"/>
      <c r="AH159" s="198"/>
      <c r="AI159" s="198"/>
      <c r="AJ159" s="198"/>
      <c r="AK159" s="198"/>
      <c r="AL159" s="198"/>
    </row>
    <row r="160" ht="15.75" customHeight="1">
      <c r="A160" s="198"/>
      <c r="B160" s="198"/>
      <c r="C160" s="198"/>
      <c r="D160" s="198"/>
      <c r="E160" s="198"/>
      <c r="F160" s="198"/>
      <c r="G160" s="199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9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</row>
    <row r="161" ht="15.75" customHeight="1">
      <c r="A161" s="198"/>
      <c r="B161" s="198"/>
      <c r="C161" s="198"/>
      <c r="D161" s="198"/>
      <c r="E161" s="198"/>
      <c r="F161" s="198"/>
      <c r="G161" s="199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9"/>
      <c r="AA161" s="198"/>
      <c r="AB161" s="198"/>
      <c r="AC161" s="198"/>
      <c r="AD161" s="198"/>
      <c r="AE161" s="198"/>
      <c r="AF161" s="198"/>
      <c r="AG161" s="198"/>
      <c r="AH161" s="198"/>
      <c r="AI161" s="198"/>
      <c r="AJ161" s="198"/>
      <c r="AK161" s="198"/>
      <c r="AL161" s="198"/>
    </row>
    <row r="162" ht="15.75" customHeight="1">
      <c r="A162" s="198"/>
      <c r="B162" s="198"/>
      <c r="C162" s="198"/>
      <c r="D162" s="198"/>
      <c r="E162" s="198"/>
      <c r="F162" s="198"/>
      <c r="G162" s="199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9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</row>
    <row r="163" ht="15.75" customHeight="1">
      <c r="A163" s="198"/>
      <c r="B163" s="198"/>
      <c r="C163" s="198"/>
      <c r="D163" s="198"/>
      <c r="E163" s="198"/>
      <c r="F163" s="198"/>
      <c r="G163" s="199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9"/>
      <c r="AA163" s="198"/>
      <c r="AB163" s="198"/>
      <c r="AC163" s="198"/>
      <c r="AD163" s="198"/>
      <c r="AE163" s="198"/>
      <c r="AF163" s="198"/>
      <c r="AG163" s="198"/>
      <c r="AH163" s="198"/>
      <c r="AI163" s="198"/>
      <c r="AJ163" s="198"/>
      <c r="AK163" s="198"/>
      <c r="AL163" s="198"/>
    </row>
    <row r="164" ht="15.75" customHeight="1">
      <c r="A164" s="198"/>
      <c r="B164" s="198"/>
      <c r="C164" s="198"/>
      <c r="D164" s="198"/>
      <c r="E164" s="198"/>
      <c r="F164" s="198"/>
      <c r="G164" s="199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9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</row>
    <row r="165" ht="15.75" customHeight="1">
      <c r="A165" s="198"/>
      <c r="B165" s="198"/>
      <c r="C165" s="198"/>
      <c r="D165" s="198"/>
      <c r="E165" s="198"/>
      <c r="F165" s="198"/>
      <c r="G165" s="199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9"/>
      <c r="AA165" s="198"/>
      <c r="AB165" s="198"/>
      <c r="AC165" s="198"/>
      <c r="AD165" s="198"/>
      <c r="AE165" s="198"/>
      <c r="AF165" s="198"/>
      <c r="AG165" s="198"/>
      <c r="AH165" s="198"/>
      <c r="AI165" s="198"/>
      <c r="AJ165" s="198"/>
      <c r="AK165" s="198"/>
      <c r="AL165" s="198"/>
    </row>
    <row r="166" ht="15.75" customHeight="1">
      <c r="A166" s="198"/>
      <c r="B166" s="198"/>
      <c r="C166" s="198"/>
      <c r="D166" s="198"/>
      <c r="E166" s="198"/>
      <c r="F166" s="198"/>
      <c r="G166" s="199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9"/>
      <c r="AA166" s="198"/>
      <c r="AB166" s="198"/>
      <c r="AC166" s="198"/>
      <c r="AD166" s="198"/>
      <c r="AE166" s="198"/>
      <c r="AF166" s="198"/>
      <c r="AG166" s="198"/>
      <c r="AH166" s="198"/>
      <c r="AI166" s="198"/>
      <c r="AJ166" s="198"/>
      <c r="AK166" s="198"/>
      <c r="AL166" s="198"/>
    </row>
    <row r="167" ht="15.75" customHeight="1">
      <c r="A167" s="198"/>
      <c r="B167" s="198"/>
      <c r="C167" s="198"/>
      <c r="D167" s="198"/>
      <c r="E167" s="198"/>
      <c r="F167" s="198"/>
      <c r="G167" s="199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9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</row>
    <row r="168" ht="15.75" customHeight="1">
      <c r="A168" s="198"/>
      <c r="B168" s="198"/>
      <c r="C168" s="198"/>
      <c r="D168" s="198"/>
      <c r="E168" s="198"/>
      <c r="F168" s="198"/>
      <c r="G168" s="199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9"/>
      <c r="AA168" s="198"/>
      <c r="AB168" s="198"/>
      <c r="AC168" s="198"/>
      <c r="AD168" s="198"/>
      <c r="AE168" s="198"/>
      <c r="AF168" s="198"/>
      <c r="AG168" s="198"/>
      <c r="AH168" s="198"/>
      <c r="AI168" s="198"/>
      <c r="AJ168" s="198"/>
      <c r="AK168" s="198"/>
      <c r="AL168" s="198"/>
    </row>
    <row r="169" ht="15.75" customHeight="1">
      <c r="A169" s="198"/>
      <c r="B169" s="198"/>
      <c r="C169" s="198"/>
      <c r="D169" s="198"/>
      <c r="E169" s="198"/>
      <c r="F169" s="198"/>
      <c r="G169" s="199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9"/>
      <c r="AA169" s="198"/>
      <c r="AB169" s="198"/>
      <c r="AC169" s="198"/>
      <c r="AD169" s="198"/>
      <c r="AE169" s="198"/>
      <c r="AF169" s="198"/>
      <c r="AG169" s="198"/>
      <c r="AH169" s="198"/>
      <c r="AI169" s="198"/>
      <c r="AJ169" s="198"/>
      <c r="AK169" s="198"/>
      <c r="AL169" s="198"/>
    </row>
    <row r="170" ht="15.75" customHeight="1">
      <c r="A170" s="198"/>
      <c r="B170" s="198"/>
      <c r="C170" s="198"/>
      <c r="D170" s="198"/>
      <c r="E170" s="198"/>
      <c r="F170" s="198"/>
      <c r="G170" s="199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9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</row>
    <row r="171" ht="15.75" customHeight="1">
      <c r="A171" s="198"/>
      <c r="B171" s="198"/>
      <c r="C171" s="198"/>
      <c r="D171" s="198"/>
      <c r="E171" s="198"/>
      <c r="F171" s="198"/>
      <c r="G171" s="199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9"/>
      <c r="AA171" s="198"/>
      <c r="AB171" s="198"/>
      <c r="AC171" s="198"/>
      <c r="AD171" s="198"/>
      <c r="AE171" s="198"/>
      <c r="AF171" s="198"/>
      <c r="AG171" s="198"/>
      <c r="AH171" s="198"/>
      <c r="AI171" s="198"/>
      <c r="AJ171" s="198"/>
      <c r="AK171" s="198"/>
      <c r="AL171" s="198"/>
    </row>
    <row r="172" ht="15.75" customHeight="1">
      <c r="A172" s="198"/>
      <c r="B172" s="198"/>
      <c r="C172" s="198"/>
      <c r="D172" s="198"/>
      <c r="E172" s="198"/>
      <c r="F172" s="198"/>
      <c r="G172" s="199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9"/>
      <c r="AA172" s="198"/>
      <c r="AB172" s="198"/>
      <c r="AC172" s="198"/>
      <c r="AD172" s="198"/>
      <c r="AE172" s="198"/>
      <c r="AF172" s="198"/>
      <c r="AG172" s="198"/>
      <c r="AH172" s="198"/>
      <c r="AI172" s="198"/>
      <c r="AJ172" s="198"/>
      <c r="AK172" s="198"/>
      <c r="AL172" s="198"/>
    </row>
    <row r="173" ht="15.75" customHeight="1">
      <c r="A173" s="198"/>
      <c r="B173" s="198"/>
      <c r="C173" s="198"/>
      <c r="D173" s="198"/>
      <c r="E173" s="198"/>
      <c r="F173" s="198"/>
      <c r="G173" s="199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9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</row>
    <row r="174" ht="15.75" customHeight="1">
      <c r="A174" s="198"/>
      <c r="B174" s="198"/>
      <c r="C174" s="198"/>
      <c r="D174" s="198"/>
      <c r="E174" s="198"/>
      <c r="F174" s="198"/>
      <c r="G174" s="199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9"/>
      <c r="AA174" s="198"/>
      <c r="AB174" s="198"/>
      <c r="AC174" s="198"/>
      <c r="AD174" s="198"/>
      <c r="AE174" s="198"/>
      <c r="AF174" s="198"/>
      <c r="AG174" s="198"/>
      <c r="AH174" s="198"/>
      <c r="AI174" s="198"/>
      <c r="AJ174" s="198"/>
      <c r="AK174" s="198"/>
      <c r="AL174" s="198"/>
    </row>
    <row r="175" ht="15.75" customHeight="1">
      <c r="A175" s="198"/>
      <c r="B175" s="198"/>
      <c r="C175" s="198"/>
      <c r="D175" s="198"/>
      <c r="E175" s="198"/>
      <c r="F175" s="198"/>
      <c r="G175" s="199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9"/>
      <c r="AA175" s="198"/>
      <c r="AB175" s="198"/>
      <c r="AC175" s="198"/>
      <c r="AD175" s="198"/>
      <c r="AE175" s="198"/>
      <c r="AF175" s="198"/>
      <c r="AG175" s="198"/>
      <c r="AH175" s="198"/>
      <c r="AI175" s="198"/>
      <c r="AJ175" s="198"/>
      <c r="AK175" s="198"/>
      <c r="AL175" s="198"/>
    </row>
    <row r="176" ht="15.75" customHeight="1">
      <c r="A176" s="198"/>
      <c r="B176" s="198"/>
      <c r="C176" s="198"/>
      <c r="D176" s="198"/>
      <c r="E176" s="198"/>
      <c r="F176" s="198"/>
      <c r="G176" s="199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9"/>
      <c r="AA176" s="198"/>
      <c r="AB176" s="198"/>
      <c r="AC176" s="198"/>
      <c r="AD176" s="198"/>
      <c r="AE176" s="198"/>
      <c r="AF176" s="198"/>
      <c r="AG176" s="198"/>
      <c r="AH176" s="198"/>
      <c r="AI176" s="198"/>
      <c r="AJ176" s="198"/>
      <c r="AK176" s="198"/>
      <c r="AL176" s="198"/>
    </row>
    <row r="177" ht="15.75" customHeight="1">
      <c r="A177" s="198"/>
      <c r="B177" s="198"/>
      <c r="C177" s="198"/>
      <c r="D177" s="198"/>
      <c r="E177" s="198"/>
      <c r="F177" s="198"/>
      <c r="G177" s="199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9"/>
      <c r="AA177" s="198"/>
      <c r="AB177" s="198"/>
      <c r="AC177" s="198"/>
      <c r="AD177" s="198"/>
      <c r="AE177" s="198"/>
      <c r="AF177" s="198"/>
      <c r="AG177" s="198"/>
      <c r="AH177" s="198"/>
      <c r="AI177" s="198"/>
      <c r="AJ177" s="198"/>
      <c r="AK177" s="198"/>
      <c r="AL177" s="198"/>
    </row>
    <row r="178" ht="15.75" customHeight="1">
      <c r="A178" s="198"/>
      <c r="B178" s="198"/>
      <c r="C178" s="198"/>
      <c r="D178" s="198"/>
      <c r="E178" s="198"/>
      <c r="F178" s="198"/>
      <c r="G178" s="199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9"/>
      <c r="AA178" s="198"/>
      <c r="AB178" s="198"/>
      <c r="AC178" s="198"/>
      <c r="AD178" s="198"/>
      <c r="AE178" s="198"/>
      <c r="AF178" s="198"/>
      <c r="AG178" s="198"/>
      <c r="AH178" s="198"/>
      <c r="AI178" s="198"/>
      <c r="AJ178" s="198"/>
      <c r="AK178" s="198"/>
      <c r="AL178" s="198"/>
    </row>
    <row r="179" ht="15.75" customHeight="1">
      <c r="A179" s="198"/>
      <c r="B179" s="198"/>
      <c r="C179" s="198"/>
      <c r="D179" s="198"/>
      <c r="E179" s="198"/>
      <c r="F179" s="198"/>
      <c r="G179" s="199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9"/>
      <c r="AA179" s="198"/>
      <c r="AB179" s="198"/>
      <c r="AC179" s="198"/>
      <c r="AD179" s="198"/>
      <c r="AE179" s="198"/>
      <c r="AF179" s="198"/>
      <c r="AG179" s="198"/>
      <c r="AH179" s="198"/>
      <c r="AI179" s="198"/>
      <c r="AJ179" s="198"/>
      <c r="AK179" s="198"/>
      <c r="AL179" s="198"/>
    </row>
    <row r="180" ht="15.75" customHeight="1">
      <c r="A180" s="198"/>
      <c r="B180" s="198"/>
      <c r="C180" s="198"/>
      <c r="D180" s="198"/>
      <c r="E180" s="198"/>
      <c r="F180" s="198"/>
      <c r="G180" s="199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9"/>
      <c r="AA180" s="198"/>
      <c r="AB180" s="198"/>
      <c r="AC180" s="198"/>
      <c r="AD180" s="198"/>
      <c r="AE180" s="198"/>
      <c r="AF180" s="198"/>
      <c r="AG180" s="198"/>
      <c r="AH180" s="198"/>
      <c r="AI180" s="198"/>
      <c r="AJ180" s="198"/>
      <c r="AK180" s="198"/>
      <c r="AL180" s="198"/>
    </row>
    <row r="181" ht="15.75" customHeight="1">
      <c r="A181" s="198"/>
      <c r="B181" s="198"/>
      <c r="C181" s="198"/>
      <c r="D181" s="198"/>
      <c r="E181" s="198"/>
      <c r="F181" s="198"/>
      <c r="G181" s="199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9"/>
      <c r="AA181" s="198"/>
      <c r="AB181" s="198"/>
      <c r="AC181" s="198"/>
      <c r="AD181" s="198"/>
      <c r="AE181" s="198"/>
      <c r="AF181" s="198"/>
      <c r="AG181" s="198"/>
      <c r="AH181" s="198"/>
      <c r="AI181" s="198"/>
      <c r="AJ181" s="198"/>
      <c r="AK181" s="198"/>
      <c r="AL181" s="198"/>
    </row>
    <row r="182" ht="15.75" customHeight="1">
      <c r="A182" s="198"/>
      <c r="B182" s="198"/>
      <c r="C182" s="198"/>
      <c r="D182" s="198"/>
      <c r="E182" s="198"/>
      <c r="F182" s="198"/>
      <c r="G182" s="199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9"/>
      <c r="AA182" s="198"/>
      <c r="AB182" s="198"/>
      <c r="AC182" s="198"/>
      <c r="AD182" s="198"/>
      <c r="AE182" s="198"/>
      <c r="AF182" s="198"/>
      <c r="AG182" s="198"/>
      <c r="AH182" s="198"/>
      <c r="AI182" s="198"/>
      <c r="AJ182" s="198"/>
      <c r="AK182" s="198"/>
      <c r="AL182" s="198"/>
    </row>
    <row r="183" ht="15.75" customHeight="1">
      <c r="A183" s="198"/>
      <c r="B183" s="198"/>
      <c r="C183" s="198"/>
      <c r="D183" s="198"/>
      <c r="E183" s="198"/>
      <c r="F183" s="198"/>
      <c r="G183" s="199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9"/>
      <c r="AA183" s="198"/>
      <c r="AB183" s="198"/>
      <c r="AC183" s="198"/>
      <c r="AD183" s="198"/>
      <c r="AE183" s="198"/>
      <c r="AF183" s="198"/>
      <c r="AG183" s="198"/>
      <c r="AH183" s="198"/>
      <c r="AI183" s="198"/>
      <c r="AJ183" s="198"/>
      <c r="AK183" s="198"/>
      <c r="AL183" s="198"/>
    </row>
    <row r="184" ht="15.75" customHeight="1">
      <c r="A184" s="198"/>
      <c r="B184" s="198"/>
      <c r="C184" s="198"/>
      <c r="D184" s="198"/>
      <c r="E184" s="198"/>
      <c r="F184" s="198"/>
      <c r="G184" s="199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9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</row>
    <row r="185" ht="15.75" customHeight="1">
      <c r="A185" s="198"/>
      <c r="B185" s="198"/>
      <c r="C185" s="198"/>
      <c r="D185" s="198"/>
      <c r="E185" s="198"/>
      <c r="F185" s="198"/>
      <c r="G185" s="199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9"/>
      <c r="AA185" s="198"/>
      <c r="AB185" s="198"/>
      <c r="AC185" s="198"/>
      <c r="AD185" s="198"/>
      <c r="AE185" s="198"/>
      <c r="AF185" s="198"/>
      <c r="AG185" s="198"/>
      <c r="AH185" s="198"/>
      <c r="AI185" s="198"/>
      <c r="AJ185" s="198"/>
      <c r="AK185" s="198"/>
      <c r="AL185" s="198"/>
    </row>
    <row r="186" ht="15.75" customHeight="1">
      <c r="A186" s="198"/>
      <c r="B186" s="198"/>
      <c r="C186" s="198"/>
      <c r="D186" s="198"/>
      <c r="E186" s="198"/>
      <c r="F186" s="198"/>
      <c r="G186" s="199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9"/>
      <c r="AA186" s="198"/>
      <c r="AB186" s="198"/>
      <c r="AC186" s="198"/>
      <c r="AD186" s="198"/>
      <c r="AE186" s="198"/>
      <c r="AF186" s="198"/>
      <c r="AG186" s="198"/>
      <c r="AH186" s="198"/>
      <c r="AI186" s="198"/>
      <c r="AJ186" s="198"/>
      <c r="AK186" s="198"/>
      <c r="AL186" s="198"/>
    </row>
    <row r="187" ht="15.75" customHeight="1">
      <c r="A187" s="198"/>
      <c r="B187" s="198"/>
      <c r="C187" s="198"/>
      <c r="D187" s="198"/>
      <c r="E187" s="198"/>
      <c r="F187" s="198"/>
      <c r="G187" s="199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9"/>
      <c r="AA187" s="198"/>
      <c r="AB187" s="198"/>
      <c r="AC187" s="198"/>
      <c r="AD187" s="198"/>
      <c r="AE187" s="198"/>
      <c r="AF187" s="198"/>
      <c r="AG187" s="198"/>
      <c r="AH187" s="198"/>
      <c r="AI187" s="198"/>
      <c r="AJ187" s="198"/>
      <c r="AK187" s="198"/>
      <c r="AL187" s="198"/>
    </row>
    <row r="188" ht="15.75" customHeight="1">
      <c r="A188" s="198"/>
      <c r="B188" s="198"/>
      <c r="C188" s="198"/>
      <c r="D188" s="198"/>
      <c r="E188" s="198"/>
      <c r="F188" s="198"/>
      <c r="G188" s="199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9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</row>
    <row r="189" ht="15.75" customHeight="1">
      <c r="A189" s="198"/>
      <c r="B189" s="198"/>
      <c r="C189" s="198"/>
      <c r="D189" s="198"/>
      <c r="E189" s="198"/>
      <c r="F189" s="198"/>
      <c r="G189" s="199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9"/>
      <c r="AA189" s="198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</row>
    <row r="190" ht="15.75" customHeight="1">
      <c r="A190" s="198"/>
      <c r="B190" s="198"/>
      <c r="C190" s="198"/>
      <c r="D190" s="198"/>
      <c r="E190" s="198"/>
      <c r="F190" s="198"/>
      <c r="G190" s="199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9"/>
      <c r="AA190" s="198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</row>
    <row r="191" ht="15.75" customHeight="1">
      <c r="A191" s="198"/>
      <c r="B191" s="198"/>
      <c r="C191" s="198"/>
      <c r="D191" s="198"/>
      <c r="E191" s="198"/>
      <c r="F191" s="198"/>
      <c r="G191" s="199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9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</row>
    <row r="192" ht="15.75" customHeight="1">
      <c r="A192" s="198"/>
      <c r="B192" s="198"/>
      <c r="C192" s="198"/>
      <c r="D192" s="198"/>
      <c r="E192" s="198"/>
      <c r="F192" s="198"/>
      <c r="G192" s="199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9"/>
      <c r="AA192" s="198"/>
      <c r="AB192" s="198"/>
      <c r="AC192" s="198"/>
      <c r="AD192" s="198"/>
      <c r="AE192" s="198"/>
      <c r="AF192" s="198"/>
      <c r="AG192" s="198"/>
      <c r="AH192" s="198"/>
      <c r="AI192" s="198"/>
      <c r="AJ192" s="198"/>
      <c r="AK192" s="198"/>
      <c r="AL192" s="198"/>
    </row>
    <row r="193" ht="15.75" customHeight="1">
      <c r="A193" s="198"/>
      <c r="B193" s="198"/>
      <c r="C193" s="198"/>
      <c r="D193" s="198"/>
      <c r="E193" s="198"/>
      <c r="F193" s="198"/>
      <c r="G193" s="199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9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</row>
    <row r="194" ht="15.75" customHeight="1">
      <c r="A194" s="198"/>
      <c r="B194" s="198"/>
      <c r="C194" s="198"/>
      <c r="D194" s="198"/>
      <c r="E194" s="198"/>
      <c r="F194" s="198"/>
      <c r="G194" s="199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9"/>
      <c r="AA194" s="198"/>
      <c r="AB194" s="198"/>
      <c r="AC194" s="198"/>
      <c r="AD194" s="198"/>
      <c r="AE194" s="198"/>
      <c r="AF194" s="198"/>
      <c r="AG194" s="198"/>
      <c r="AH194" s="198"/>
      <c r="AI194" s="198"/>
      <c r="AJ194" s="198"/>
      <c r="AK194" s="198"/>
      <c r="AL194" s="198"/>
    </row>
    <row r="195" ht="15.75" customHeight="1">
      <c r="A195" s="198"/>
      <c r="B195" s="198"/>
      <c r="C195" s="198"/>
      <c r="D195" s="198"/>
      <c r="E195" s="198"/>
      <c r="F195" s="198"/>
      <c r="G195" s="199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9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</row>
    <row r="196" ht="15.75" customHeight="1">
      <c r="A196" s="198"/>
      <c r="B196" s="198"/>
      <c r="C196" s="198"/>
      <c r="D196" s="198"/>
      <c r="E196" s="198"/>
      <c r="F196" s="198"/>
      <c r="G196" s="199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9"/>
      <c r="AA196" s="198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</row>
    <row r="197" ht="15.75" customHeight="1">
      <c r="A197" s="198"/>
      <c r="B197" s="198"/>
      <c r="C197" s="198"/>
      <c r="D197" s="198"/>
      <c r="E197" s="198"/>
      <c r="F197" s="198"/>
      <c r="G197" s="199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9"/>
      <c r="AA197" s="198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</row>
    <row r="198" ht="15.75" customHeight="1">
      <c r="A198" s="198"/>
      <c r="B198" s="198"/>
      <c r="C198" s="198"/>
      <c r="D198" s="198"/>
      <c r="E198" s="198"/>
      <c r="F198" s="198"/>
      <c r="G198" s="199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9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</row>
    <row r="199" ht="15.75" customHeight="1">
      <c r="A199" s="198"/>
      <c r="B199" s="198"/>
      <c r="C199" s="198"/>
      <c r="D199" s="198"/>
      <c r="E199" s="198"/>
      <c r="F199" s="198"/>
      <c r="G199" s="199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9"/>
      <c r="AA199" s="198"/>
      <c r="AB199" s="198"/>
      <c r="AC199" s="198"/>
      <c r="AD199" s="198"/>
      <c r="AE199" s="198"/>
      <c r="AF199" s="198"/>
      <c r="AG199" s="198"/>
      <c r="AH199" s="198"/>
      <c r="AI199" s="198"/>
      <c r="AJ199" s="198"/>
      <c r="AK199" s="198"/>
      <c r="AL199" s="198"/>
    </row>
    <row r="200" ht="15.75" customHeight="1">
      <c r="A200" s="198"/>
      <c r="B200" s="198"/>
      <c r="C200" s="198"/>
      <c r="D200" s="198"/>
      <c r="E200" s="198"/>
      <c r="F200" s="198"/>
      <c r="G200" s="199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9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</row>
    <row r="201" ht="15.75" customHeight="1">
      <c r="A201" s="198"/>
      <c r="B201" s="198"/>
      <c r="C201" s="198"/>
      <c r="D201" s="198"/>
      <c r="E201" s="198"/>
      <c r="F201" s="198"/>
      <c r="G201" s="199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9"/>
      <c r="AA201" s="198"/>
      <c r="AB201" s="198"/>
      <c r="AC201" s="198"/>
      <c r="AD201" s="198"/>
      <c r="AE201" s="198"/>
      <c r="AF201" s="198"/>
      <c r="AG201" s="198"/>
      <c r="AH201" s="198"/>
      <c r="AI201" s="198"/>
      <c r="AJ201" s="198"/>
      <c r="AK201" s="198"/>
      <c r="AL201" s="198"/>
    </row>
    <row r="202" ht="15.75" customHeight="1">
      <c r="A202" s="198"/>
      <c r="B202" s="198"/>
      <c r="C202" s="198"/>
      <c r="D202" s="198"/>
      <c r="E202" s="198"/>
      <c r="F202" s="198"/>
      <c r="G202" s="199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9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</row>
    <row r="203" ht="15.75" customHeight="1">
      <c r="A203" s="198"/>
      <c r="B203" s="198"/>
      <c r="C203" s="198"/>
      <c r="D203" s="198"/>
      <c r="E203" s="198"/>
      <c r="F203" s="198"/>
      <c r="G203" s="199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9"/>
      <c r="AA203" s="198"/>
      <c r="AB203" s="198"/>
      <c r="AC203" s="198"/>
      <c r="AD203" s="198"/>
      <c r="AE203" s="198"/>
      <c r="AF203" s="198"/>
      <c r="AG203" s="198"/>
      <c r="AH203" s="198"/>
      <c r="AI203" s="198"/>
      <c r="AJ203" s="198"/>
      <c r="AK203" s="198"/>
      <c r="AL203" s="198"/>
    </row>
    <row r="204" ht="15.75" customHeight="1">
      <c r="A204" s="198"/>
      <c r="B204" s="198"/>
      <c r="C204" s="198"/>
      <c r="D204" s="198"/>
      <c r="E204" s="198"/>
      <c r="F204" s="198"/>
      <c r="G204" s="199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9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</row>
    <row r="205" ht="15.75" customHeight="1">
      <c r="A205" s="198"/>
      <c r="B205" s="198"/>
      <c r="C205" s="198"/>
      <c r="D205" s="198"/>
      <c r="E205" s="198"/>
      <c r="F205" s="198"/>
      <c r="G205" s="199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9"/>
      <c r="AA205" s="198"/>
      <c r="AB205" s="198"/>
      <c r="AC205" s="198"/>
      <c r="AD205" s="198"/>
      <c r="AE205" s="198"/>
      <c r="AF205" s="198"/>
      <c r="AG205" s="198"/>
      <c r="AH205" s="198"/>
      <c r="AI205" s="198"/>
      <c r="AJ205" s="198"/>
      <c r="AK205" s="198"/>
      <c r="AL205" s="198"/>
    </row>
    <row r="206" ht="15.75" customHeight="1">
      <c r="A206" s="198"/>
      <c r="B206" s="198"/>
      <c r="C206" s="198"/>
      <c r="D206" s="198"/>
      <c r="E206" s="198"/>
      <c r="F206" s="198"/>
      <c r="G206" s="199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9"/>
      <c r="AA206" s="198"/>
      <c r="AB206" s="198"/>
      <c r="AC206" s="198"/>
      <c r="AD206" s="198"/>
      <c r="AE206" s="198"/>
      <c r="AF206" s="198"/>
      <c r="AG206" s="198"/>
      <c r="AH206" s="198"/>
      <c r="AI206" s="198"/>
      <c r="AJ206" s="198"/>
      <c r="AK206" s="198"/>
      <c r="AL206" s="198"/>
    </row>
    <row r="207" ht="15.75" customHeight="1">
      <c r="A207" s="198"/>
      <c r="B207" s="198"/>
      <c r="C207" s="198"/>
      <c r="D207" s="198"/>
      <c r="E207" s="198"/>
      <c r="F207" s="198"/>
      <c r="G207" s="199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8"/>
      <c r="AB207" s="198"/>
      <c r="AC207" s="198"/>
      <c r="AD207" s="198"/>
      <c r="AE207" s="198"/>
      <c r="AF207" s="198"/>
      <c r="AG207" s="198"/>
      <c r="AH207" s="198"/>
      <c r="AI207" s="198"/>
      <c r="AJ207" s="198"/>
      <c r="AK207" s="198"/>
      <c r="AL207" s="198"/>
    </row>
    <row r="208" ht="15.75" customHeight="1">
      <c r="A208" s="198"/>
      <c r="B208" s="198"/>
      <c r="C208" s="198"/>
      <c r="D208" s="198"/>
      <c r="E208" s="198"/>
      <c r="F208" s="198"/>
      <c r="G208" s="199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9"/>
      <c r="AA208" s="198"/>
      <c r="AB208" s="198"/>
      <c r="AC208" s="198"/>
      <c r="AD208" s="198"/>
      <c r="AE208" s="198"/>
      <c r="AF208" s="198"/>
      <c r="AG208" s="198"/>
      <c r="AH208" s="198"/>
      <c r="AI208" s="198"/>
      <c r="AJ208" s="198"/>
      <c r="AK208" s="198"/>
      <c r="AL208" s="198"/>
    </row>
    <row r="209" ht="15.75" customHeight="1">
      <c r="A209" s="198"/>
      <c r="B209" s="198"/>
      <c r="C209" s="198"/>
      <c r="D209" s="198"/>
      <c r="E209" s="198"/>
      <c r="F209" s="198"/>
      <c r="G209" s="199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9"/>
      <c r="AA209" s="198"/>
      <c r="AB209" s="198"/>
      <c r="AC209" s="198"/>
      <c r="AD209" s="198"/>
      <c r="AE209" s="198"/>
      <c r="AF209" s="198"/>
      <c r="AG209" s="198"/>
      <c r="AH209" s="198"/>
      <c r="AI209" s="198"/>
      <c r="AJ209" s="198"/>
      <c r="AK209" s="198"/>
      <c r="AL209" s="198"/>
    </row>
    <row r="210" ht="15.75" customHeight="1">
      <c r="A210" s="198"/>
      <c r="B210" s="198"/>
      <c r="C210" s="198"/>
      <c r="D210" s="198"/>
      <c r="E210" s="198"/>
      <c r="F210" s="198"/>
      <c r="G210" s="199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8"/>
      <c r="AB210" s="198"/>
      <c r="AC210" s="198"/>
      <c r="AD210" s="198"/>
      <c r="AE210" s="198"/>
      <c r="AF210" s="198"/>
      <c r="AG210" s="198"/>
      <c r="AH210" s="198"/>
      <c r="AI210" s="198"/>
      <c r="AJ210" s="198"/>
      <c r="AK210" s="198"/>
      <c r="AL210" s="198"/>
    </row>
    <row r="211" ht="15.75" customHeight="1">
      <c r="A211" s="198"/>
      <c r="B211" s="198"/>
      <c r="C211" s="198"/>
      <c r="D211" s="198"/>
      <c r="E211" s="198"/>
      <c r="F211" s="198"/>
      <c r="G211" s="199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8"/>
      <c r="AB211" s="198"/>
      <c r="AC211" s="198"/>
      <c r="AD211" s="198"/>
      <c r="AE211" s="198"/>
      <c r="AF211" s="198"/>
      <c r="AG211" s="198"/>
      <c r="AH211" s="198"/>
      <c r="AI211" s="198"/>
      <c r="AJ211" s="198"/>
      <c r="AK211" s="198"/>
      <c r="AL211" s="198"/>
    </row>
    <row r="212" ht="15.75" customHeight="1">
      <c r="A212" s="198"/>
      <c r="B212" s="198"/>
      <c r="C212" s="198"/>
      <c r="D212" s="198"/>
      <c r="E212" s="198"/>
      <c r="F212" s="198"/>
      <c r="G212" s="199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9"/>
      <c r="AA212" s="198"/>
      <c r="AB212" s="198"/>
      <c r="AC212" s="198"/>
      <c r="AD212" s="198"/>
      <c r="AE212" s="198"/>
      <c r="AF212" s="198"/>
      <c r="AG212" s="198"/>
      <c r="AH212" s="198"/>
      <c r="AI212" s="198"/>
      <c r="AJ212" s="198"/>
      <c r="AK212" s="198"/>
      <c r="AL212" s="198"/>
    </row>
    <row r="213" ht="15.75" customHeight="1">
      <c r="A213" s="198"/>
      <c r="B213" s="198"/>
      <c r="C213" s="198"/>
      <c r="D213" s="198"/>
      <c r="E213" s="198"/>
      <c r="F213" s="198"/>
      <c r="G213" s="199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9"/>
      <c r="AA213" s="198"/>
      <c r="AB213" s="198"/>
      <c r="AC213" s="198"/>
      <c r="AD213" s="198"/>
      <c r="AE213" s="198"/>
      <c r="AF213" s="198"/>
      <c r="AG213" s="198"/>
      <c r="AH213" s="198"/>
      <c r="AI213" s="198"/>
      <c r="AJ213" s="198"/>
      <c r="AK213" s="198"/>
      <c r="AL213" s="198"/>
    </row>
    <row r="214" ht="15.75" customHeight="1">
      <c r="A214" s="198"/>
      <c r="B214" s="198"/>
      <c r="C214" s="198"/>
      <c r="D214" s="198"/>
      <c r="E214" s="198"/>
      <c r="F214" s="198"/>
      <c r="G214" s="199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8"/>
      <c r="AB214" s="198"/>
      <c r="AC214" s="198"/>
      <c r="AD214" s="198"/>
      <c r="AE214" s="198"/>
      <c r="AF214" s="198"/>
      <c r="AG214" s="198"/>
      <c r="AH214" s="198"/>
      <c r="AI214" s="198"/>
      <c r="AJ214" s="198"/>
      <c r="AK214" s="198"/>
      <c r="AL214" s="198"/>
    </row>
    <row r="215" ht="15.75" customHeight="1">
      <c r="A215" s="198"/>
      <c r="B215" s="198"/>
      <c r="C215" s="198"/>
      <c r="D215" s="198"/>
      <c r="E215" s="198"/>
      <c r="F215" s="198"/>
      <c r="G215" s="199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9"/>
      <c r="AA215" s="198"/>
      <c r="AB215" s="198"/>
      <c r="AC215" s="198"/>
      <c r="AD215" s="198"/>
      <c r="AE215" s="198"/>
      <c r="AF215" s="198"/>
      <c r="AG215" s="198"/>
      <c r="AH215" s="198"/>
      <c r="AI215" s="198"/>
      <c r="AJ215" s="198"/>
      <c r="AK215" s="198"/>
      <c r="AL215" s="198"/>
    </row>
    <row r="216" ht="15.75" customHeight="1">
      <c r="A216" s="198"/>
      <c r="B216" s="198"/>
      <c r="C216" s="198"/>
      <c r="D216" s="198"/>
      <c r="E216" s="198"/>
      <c r="F216" s="198"/>
      <c r="G216" s="199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9"/>
      <c r="AA216" s="198"/>
      <c r="AB216" s="198"/>
      <c r="AC216" s="198"/>
      <c r="AD216" s="198"/>
      <c r="AE216" s="198"/>
      <c r="AF216" s="198"/>
      <c r="AG216" s="198"/>
      <c r="AH216" s="198"/>
      <c r="AI216" s="198"/>
      <c r="AJ216" s="198"/>
      <c r="AK216" s="198"/>
      <c r="AL216" s="198"/>
    </row>
    <row r="217" ht="15.75" customHeight="1">
      <c r="A217" s="198"/>
      <c r="B217" s="198"/>
      <c r="C217" s="198"/>
      <c r="D217" s="198"/>
      <c r="E217" s="198"/>
      <c r="F217" s="198"/>
      <c r="G217" s="199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9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</row>
    <row r="218" ht="15.75" customHeight="1">
      <c r="A218" s="198"/>
      <c r="B218" s="198"/>
      <c r="C218" s="198"/>
      <c r="D218" s="198"/>
      <c r="E218" s="198"/>
      <c r="F218" s="198"/>
      <c r="G218" s="199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9"/>
      <c r="AA218" s="198"/>
      <c r="AB218" s="198"/>
      <c r="AC218" s="198"/>
      <c r="AD218" s="198"/>
      <c r="AE218" s="198"/>
      <c r="AF218" s="198"/>
      <c r="AG218" s="198"/>
      <c r="AH218" s="198"/>
      <c r="AI218" s="198"/>
      <c r="AJ218" s="198"/>
      <c r="AK218" s="198"/>
      <c r="AL218" s="198"/>
    </row>
    <row r="219" ht="15.75" customHeight="1">
      <c r="A219" s="198"/>
      <c r="B219" s="198"/>
      <c r="C219" s="198"/>
      <c r="D219" s="198"/>
      <c r="E219" s="198"/>
      <c r="F219" s="198"/>
      <c r="G219" s="199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9"/>
      <c r="AA219" s="198"/>
      <c r="AB219" s="198"/>
      <c r="AC219" s="198"/>
      <c r="AD219" s="198"/>
      <c r="AE219" s="198"/>
      <c r="AF219" s="198"/>
      <c r="AG219" s="198"/>
      <c r="AH219" s="198"/>
      <c r="AI219" s="198"/>
      <c r="AJ219" s="198"/>
      <c r="AK219" s="198"/>
      <c r="AL219" s="198"/>
    </row>
    <row r="220" ht="15.75" customHeight="1">
      <c r="A220" s="198"/>
      <c r="B220" s="198"/>
      <c r="C220" s="198"/>
      <c r="D220" s="198"/>
      <c r="E220" s="198"/>
      <c r="F220" s="198"/>
      <c r="G220" s="199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9"/>
      <c r="AA220" s="198"/>
      <c r="AB220" s="198"/>
      <c r="AC220" s="198"/>
      <c r="AD220" s="198"/>
      <c r="AE220" s="198"/>
      <c r="AF220" s="198"/>
      <c r="AG220" s="198"/>
      <c r="AH220" s="198"/>
      <c r="AI220" s="198"/>
      <c r="AJ220" s="198"/>
      <c r="AK220" s="198"/>
      <c r="AL220" s="198"/>
    </row>
    <row r="221" ht="15.75" customHeight="1">
      <c r="A221" s="198"/>
      <c r="B221" s="198"/>
      <c r="C221" s="198"/>
      <c r="D221" s="198"/>
      <c r="E221" s="198"/>
      <c r="F221" s="198"/>
      <c r="G221" s="199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9"/>
      <c r="AA221" s="198"/>
      <c r="AB221" s="198"/>
      <c r="AC221" s="198"/>
      <c r="AD221" s="198"/>
      <c r="AE221" s="198"/>
      <c r="AF221" s="198"/>
      <c r="AG221" s="198"/>
      <c r="AH221" s="198"/>
      <c r="AI221" s="198"/>
      <c r="AJ221" s="198"/>
      <c r="AK221" s="198"/>
      <c r="AL221" s="198"/>
    </row>
    <row r="222" ht="15.75" customHeight="1">
      <c r="A222" s="198"/>
      <c r="B222" s="198"/>
      <c r="C222" s="198"/>
      <c r="D222" s="198"/>
      <c r="E222" s="198"/>
      <c r="F222" s="198"/>
      <c r="G222" s="199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9"/>
      <c r="AA222" s="198"/>
      <c r="AB222" s="198"/>
      <c r="AC222" s="198"/>
      <c r="AD222" s="198"/>
      <c r="AE222" s="198"/>
      <c r="AF222" s="198"/>
      <c r="AG222" s="198"/>
      <c r="AH222" s="198"/>
      <c r="AI222" s="198"/>
      <c r="AJ222" s="198"/>
      <c r="AK222" s="198"/>
      <c r="AL222" s="198"/>
    </row>
    <row r="223" ht="15.75" customHeight="1">
      <c r="A223" s="198"/>
      <c r="B223" s="198"/>
      <c r="C223" s="198"/>
      <c r="D223" s="198"/>
      <c r="E223" s="198"/>
      <c r="F223" s="198"/>
      <c r="G223" s="199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9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</row>
    <row r="224" ht="15.75" customHeight="1">
      <c r="A224" s="198"/>
      <c r="B224" s="198"/>
      <c r="C224" s="198"/>
      <c r="D224" s="198"/>
      <c r="E224" s="198"/>
      <c r="F224" s="198"/>
      <c r="G224" s="199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9"/>
      <c r="AA224" s="198"/>
      <c r="AB224" s="198"/>
      <c r="AC224" s="198"/>
      <c r="AD224" s="198"/>
      <c r="AE224" s="198"/>
      <c r="AF224" s="198"/>
      <c r="AG224" s="198"/>
      <c r="AH224" s="198"/>
      <c r="AI224" s="198"/>
      <c r="AJ224" s="198"/>
      <c r="AK224" s="198"/>
      <c r="AL224" s="198"/>
    </row>
    <row r="225" ht="15.75" customHeight="1">
      <c r="A225" s="198"/>
      <c r="B225" s="198"/>
      <c r="C225" s="198"/>
      <c r="D225" s="198"/>
      <c r="E225" s="198"/>
      <c r="F225" s="198"/>
      <c r="G225" s="199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9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</row>
    <row r="226" ht="15.75" customHeight="1">
      <c r="A226" s="198"/>
      <c r="B226" s="198"/>
      <c r="C226" s="198"/>
      <c r="D226" s="198"/>
      <c r="E226" s="198"/>
      <c r="F226" s="198"/>
      <c r="G226" s="199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9"/>
      <c r="AA226" s="198"/>
      <c r="AB226" s="198"/>
      <c r="AC226" s="198"/>
      <c r="AD226" s="198"/>
      <c r="AE226" s="198"/>
      <c r="AF226" s="198"/>
      <c r="AG226" s="198"/>
      <c r="AH226" s="198"/>
      <c r="AI226" s="198"/>
      <c r="AJ226" s="198"/>
      <c r="AK226" s="198"/>
      <c r="AL226" s="198"/>
    </row>
    <row r="227" ht="15.75" customHeight="1">
      <c r="A227" s="198"/>
      <c r="B227" s="198"/>
      <c r="C227" s="198"/>
      <c r="D227" s="198"/>
      <c r="E227" s="198"/>
      <c r="F227" s="198"/>
      <c r="G227" s="199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9"/>
      <c r="AA227" s="198"/>
      <c r="AB227" s="198"/>
      <c r="AC227" s="198"/>
      <c r="AD227" s="198"/>
      <c r="AE227" s="198"/>
      <c r="AF227" s="198"/>
      <c r="AG227" s="198"/>
      <c r="AH227" s="198"/>
      <c r="AI227" s="198"/>
      <c r="AJ227" s="198"/>
      <c r="AK227" s="198"/>
      <c r="AL227" s="198"/>
    </row>
    <row r="228" ht="15.75" customHeight="1">
      <c r="A228" s="198"/>
      <c r="B228" s="198"/>
      <c r="C228" s="198"/>
      <c r="D228" s="198"/>
      <c r="E228" s="198"/>
      <c r="F228" s="198"/>
      <c r="G228" s="199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9"/>
      <c r="AA228" s="198"/>
      <c r="AB228" s="198"/>
      <c r="AC228" s="198"/>
      <c r="AD228" s="198"/>
      <c r="AE228" s="198"/>
      <c r="AF228" s="198"/>
      <c r="AG228" s="198"/>
      <c r="AH228" s="198"/>
      <c r="AI228" s="198"/>
      <c r="AJ228" s="198"/>
      <c r="AK228" s="198"/>
      <c r="AL228" s="198"/>
    </row>
    <row r="229" ht="15.75" customHeight="1">
      <c r="A229" s="198"/>
      <c r="B229" s="198"/>
      <c r="C229" s="198"/>
      <c r="D229" s="198"/>
      <c r="E229" s="198"/>
      <c r="F229" s="198"/>
      <c r="G229" s="199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9"/>
      <c r="AA229" s="198"/>
      <c r="AB229" s="198"/>
      <c r="AC229" s="198"/>
      <c r="AD229" s="198"/>
      <c r="AE229" s="198"/>
      <c r="AF229" s="198"/>
      <c r="AG229" s="198"/>
      <c r="AH229" s="198"/>
      <c r="AI229" s="198"/>
      <c r="AJ229" s="198"/>
      <c r="AK229" s="198"/>
      <c r="AL229" s="198"/>
    </row>
    <row r="230" ht="15.75" customHeight="1">
      <c r="A230" s="198"/>
      <c r="B230" s="198"/>
      <c r="C230" s="198"/>
      <c r="D230" s="198"/>
      <c r="E230" s="198"/>
      <c r="F230" s="198"/>
      <c r="G230" s="199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9"/>
      <c r="AA230" s="198"/>
      <c r="AB230" s="198"/>
      <c r="AC230" s="198"/>
      <c r="AD230" s="198"/>
      <c r="AE230" s="198"/>
      <c r="AF230" s="198"/>
      <c r="AG230" s="198"/>
      <c r="AH230" s="198"/>
      <c r="AI230" s="198"/>
      <c r="AJ230" s="198"/>
      <c r="AK230" s="198"/>
      <c r="AL230" s="198"/>
    </row>
    <row r="231" ht="15.75" customHeight="1">
      <c r="A231" s="198"/>
      <c r="B231" s="198"/>
      <c r="C231" s="198"/>
      <c r="D231" s="198"/>
      <c r="E231" s="198"/>
      <c r="F231" s="198"/>
      <c r="G231" s="199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9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</row>
    <row r="232" ht="15.75" customHeight="1">
      <c r="A232" s="198"/>
      <c r="B232" s="198"/>
      <c r="C232" s="198"/>
      <c r="D232" s="198"/>
      <c r="E232" s="198"/>
      <c r="F232" s="198"/>
      <c r="G232" s="199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9"/>
      <c r="AA232" s="198"/>
      <c r="AB232" s="198"/>
      <c r="AC232" s="198"/>
      <c r="AD232" s="198"/>
      <c r="AE232" s="198"/>
      <c r="AF232" s="198"/>
      <c r="AG232" s="198"/>
      <c r="AH232" s="198"/>
      <c r="AI232" s="198"/>
      <c r="AJ232" s="198"/>
      <c r="AK232" s="198"/>
      <c r="AL232" s="198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24">
    <mergeCell ref="N2:R2"/>
    <mergeCell ref="M4:R4"/>
    <mergeCell ref="M5:R5"/>
    <mergeCell ref="A1:B1"/>
    <mergeCell ref="C1:D1"/>
    <mergeCell ref="E1:M1"/>
    <mergeCell ref="N1:R1"/>
    <mergeCell ref="C2:D2"/>
    <mergeCell ref="E2:M2"/>
    <mergeCell ref="C3:R3"/>
    <mergeCell ref="C5:D5"/>
    <mergeCell ref="E5:I5"/>
    <mergeCell ref="B24:D24"/>
    <mergeCell ref="B29:D29"/>
    <mergeCell ref="B30:D30"/>
    <mergeCell ref="B31:D31"/>
    <mergeCell ref="B32:D32"/>
    <mergeCell ref="A2:B2"/>
    <mergeCell ref="A3:B3"/>
    <mergeCell ref="A4:B4"/>
    <mergeCell ref="C4:D4"/>
    <mergeCell ref="E4:I4"/>
    <mergeCell ref="J4:L4"/>
    <mergeCell ref="A5:B5"/>
  </mergeCells>
  <dataValidations>
    <dataValidation type="list" allowBlank="1" showInputMessage="1" showErrorMessage="1" prompt=" - " sqref="E30:R30">
      <formula1>"P,F"</formula1>
    </dataValidation>
    <dataValidation type="list" allowBlank="1" showInputMessage="1" showErrorMessage="1" prompt=" - " sqref="E8:R28">
      <formula1>"O"</formula1>
    </dataValidation>
    <dataValidation type="list" allowBlank="1" showInputMessage="1" showErrorMessage="1" prompt=" - " sqref="E29:R29">
      <formula1>"N,A,B"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8.38"/>
    <col customWidth="1" min="4" max="4" width="22.88"/>
    <col customWidth="1" min="5" max="25" width="4.88"/>
  </cols>
  <sheetData>
    <row r="1">
      <c r="A1" s="159" t="s">
        <v>195</v>
      </c>
      <c r="B1" s="160"/>
      <c r="C1" s="161" t="s">
        <v>331</v>
      </c>
      <c r="D1" s="162"/>
      <c r="E1" s="163" t="s">
        <v>197</v>
      </c>
      <c r="F1" s="160"/>
      <c r="G1" s="160"/>
      <c r="H1" s="160"/>
      <c r="I1" s="160"/>
      <c r="J1" s="160"/>
      <c r="K1" s="160"/>
      <c r="L1" s="160"/>
      <c r="M1" s="160"/>
      <c r="N1" s="164" t="s">
        <v>198</v>
      </c>
      <c r="O1" s="160"/>
      <c r="P1" s="160"/>
      <c r="Q1" s="160"/>
      <c r="R1" s="165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</row>
    <row r="2">
      <c r="A2" s="334" t="s">
        <v>199</v>
      </c>
      <c r="B2" s="173"/>
      <c r="C2" s="302" t="s">
        <v>159</v>
      </c>
      <c r="D2" s="173"/>
      <c r="E2" s="171" t="s">
        <v>200</v>
      </c>
      <c r="F2" s="172"/>
      <c r="G2" s="172"/>
      <c r="H2" s="172"/>
      <c r="I2" s="172"/>
      <c r="J2" s="172"/>
      <c r="K2" s="172"/>
      <c r="L2" s="172"/>
      <c r="M2" s="173"/>
      <c r="N2" s="174" t="s">
        <v>159</v>
      </c>
      <c r="O2" s="172"/>
      <c r="P2" s="172"/>
      <c r="Q2" s="172"/>
      <c r="R2" s="175"/>
      <c r="S2" s="178"/>
      <c r="T2" s="178"/>
      <c r="U2" s="178"/>
      <c r="V2" s="178"/>
      <c r="W2" s="178"/>
      <c r="X2" s="178"/>
      <c r="Y2" s="178"/>
      <c r="Z2" s="260"/>
      <c r="AA2" s="178"/>
      <c r="AB2" s="178"/>
      <c r="AC2" s="178"/>
      <c r="AD2" s="178"/>
      <c r="AE2" s="178"/>
      <c r="AF2" s="178"/>
      <c r="AG2" s="178"/>
      <c r="AH2" s="178"/>
    </row>
    <row r="3">
      <c r="A3" s="179" t="s">
        <v>201</v>
      </c>
      <c r="B3" s="17"/>
      <c r="C3" s="180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81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</row>
    <row r="4">
      <c r="A4" s="183" t="s">
        <v>164</v>
      </c>
      <c r="B4" s="17"/>
      <c r="C4" s="184" t="s">
        <v>165</v>
      </c>
      <c r="D4" s="17"/>
      <c r="E4" s="184" t="s">
        <v>166</v>
      </c>
      <c r="F4" s="16"/>
      <c r="G4" s="16"/>
      <c r="H4" s="16"/>
      <c r="I4" s="16"/>
      <c r="J4" s="185" t="s">
        <v>202</v>
      </c>
      <c r="K4" s="16"/>
      <c r="L4" s="16"/>
      <c r="M4" s="184" t="s">
        <v>169</v>
      </c>
      <c r="N4" s="16"/>
      <c r="O4" s="16"/>
      <c r="P4" s="16"/>
      <c r="Q4" s="16"/>
      <c r="R4" s="181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</row>
    <row r="5">
      <c r="A5" s="188">
        <f>COUNTIF(E26:IE26,"P")</f>
        <v>4</v>
      </c>
      <c r="B5" s="189"/>
      <c r="C5" s="190">
        <f>COUNTIF(E26:IE26,"F")</f>
        <v>0</v>
      </c>
      <c r="D5" s="189"/>
      <c r="E5" s="191">
        <f>SUM(M5,-A5,-C5)</f>
        <v>0</v>
      </c>
      <c r="F5" s="192"/>
      <c r="G5" s="192"/>
      <c r="H5" s="192"/>
      <c r="I5" s="192"/>
      <c r="J5" s="193">
        <f>COUNTIF(A25:IA25,"N")</f>
        <v>1</v>
      </c>
      <c r="K5" s="193">
        <f>COUNTIF(B25:IB25,"A")</f>
        <v>3</v>
      </c>
      <c r="L5" s="193">
        <f>COUNTIF(C25:IC25,"B")</f>
        <v>0</v>
      </c>
      <c r="M5" s="190">
        <f>COUNTA(A7:HS7)</f>
        <v>4</v>
      </c>
      <c r="N5" s="192"/>
      <c r="O5" s="192"/>
      <c r="P5" s="192"/>
      <c r="Q5" s="192"/>
      <c r="R5" s="194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</row>
    <row r="6">
      <c r="A6" s="198"/>
      <c r="B6" s="198"/>
      <c r="C6" s="198"/>
      <c r="D6" s="198"/>
      <c r="E6" s="198"/>
      <c r="F6" s="198"/>
      <c r="G6" s="199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9"/>
      <c r="AA6" s="198"/>
      <c r="AB6" s="198"/>
      <c r="AC6" s="198"/>
      <c r="AD6" s="198"/>
      <c r="AE6" s="198"/>
      <c r="AF6" s="198"/>
      <c r="AG6" s="198"/>
      <c r="AH6" s="198"/>
    </row>
    <row r="7" ht="48.0" customHeight="1">
      <c r="A7" s="200"/>
      <c r="B7" s="201"/>
      <c r="C7" s="201"/>
      <c r="D7" s="201"/>
      <c r="E7" s="202" t="s">
        <v>203</v>
      </c>
      <c r="F7" s="202" t="s">
        <v>204</v>
      </c>
      <c r="G7" s="202" t="s">
        <v>205</v>
      </c>
      <c r="H7" s="202" t="s">
        <v>206</v>
      </c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9"/>
      <c r="AA7" s="199"/>
      <c r="AB7" s="199"/>
      <c r="AC7" s="198"/>
      <c r="AD7" s="198"/>
      <c r="AE7" s="198"/>
      <c r="AF7" s="203"/>
      <c r="AG7" s="203"/>
      <c r="AH7" s="203"/>
    </row>
    <row r="8">
      <c r="A8" s="204" t="s">
        <v>219</v>
      </c>
      <c r="B8" s="205" t="s">
        <v>220</v>
      </c>
      <c r="C8" s="262"/>
      <c r="D8" s="263"/>
      <c r="E8" s="219"/>
      <c r="F8" s="219"/>
      <c r="G8" s="209"/>
      <c r="H8" s="209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9"/>
      <c r="AA8" s="199"/>
      <c r="AB8" s="199"/>
      <c r="AC8" s="199"/>
      <c r="AD8" s="199"/>
      <c r="AE8" s="199"/>
      <c r="AF8" s="265"/>
      <c r="AG8" s="265"/>
      <c r="AH8" s="265"/>
    </row>
    <row r="9">
      <c r="A9" s="266"/>
      <c r="B9" s="267"/>
      <c r="C9" s="268"/>
      <c r="D9" s="213" t="s">
        <v>221</v>
      </c>
      <c r="E9" s="214" t="s">
        <v>222</v>
      </c>
      <c r="F9" s="214" t="s">
        <v>222</v>
      </c>
      <c r="G9" s="214" t="s">
        <v>222</v>
      </c>
      <c r="H9" s="214" t="s">
        <v>222</v>
      </c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9"/>
      <c r="AA9" s="199"/>
      <c r="AB9" s="199"/>
      <c r="AC9" s="199"/>
      <c r="AD9" s="199"/>
      <c r="AE9" s="199"/>
      <c r="AF9" s="265"/>
      <c r="AG9" s="265"/>
      <c r="AH9" s="265"/>
    </row>
    <row r="10">
      <c r="A10" s="266"/>
      <c r="B10" s="215" t="s">
        <v>309</v>
      </c>
      <c r="C10" s="268"/>
      <c r="D10" s="303"/>
      <c r="E10" s="219"/>
      <c r="F10" s="219"/>
      <c r="G10" s="219"/>
      <c r="H10" s="209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9"/>
      <c r="AA10" s="199"/>
      <c r="AB10" s="199"/>
      <c r="AC10" s="199"/>
      <c r="AD10" s="199"/>
      <c r="AE10" s="199"/>
      <c r="AF10" s="265"/>
      <c r="AG10" s="265"/>
      <c r="AH10" s="265"/>
    </row>
    <row r="11">
      <c r="A11" s="266"/>
      <c r="B11" s="304"/>
      <c r="C11" s="305" t="s">
        <v>262</v>
      </c>
      <c r="D11" s="218" t="s">
        <v>262</v>
      </c>
      <c r="E11" s="219" t="s">
        <v>222</v>
      </c>
      <c r="F11" s="219"/>
      <c r="G11" s="219"/>
      <c r="H11" s="209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9"/>
      <c r="AA11" s="199"/>
      <c r="AB11" s="199"/>
      <c r="AC11" s="199"/>
      <c r="AD11" s="199"/>
      <c r="AE11" s="199"/>
      <c r="AF11" s="265"/>
      <c r="AG11" s="265"/>
      <c r="AH11" s="265"/>
    </row>
    <row r="12">
      <c r="A12" s="266"/>
      <c r="B12" s="221"/>
      <c r="C12" s="217" t="s">
        <v>310</v>
      </c>
      <c r="D12" s="218">
        <v>1.0</v>
      </c>
      <c r="E12" s="219"/>
      <c r="F12" s="219" t="s">
        <v>222</v>
      </c>
      <c r="G12" s="219"/>
      <c r="H12" s="209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9"/>
      <c r="AA12" s="199"/>
      <c r="AB12" s="199"/>
      <c r="AC12" s="199"/>
      <c r="AD12" s="199"/>
      <c r="AE12" s="199"/>
      <c r="AF12" s="265"/>
      <c r="AG12" s="265"/>
      <c r="AH12" s="265"/>
    </row>
    <row r="13">
      <c r="A13" s="266"/>
      <c r="B13" s="221"/>
      <c r="C13" s="305" t="s">
        <v>333</v>
      </c>
      <c r="D13" s="218">
        <v>999.0</v>
      </c>
      <c r="E13" s="219"/>
      <c r="F13" s="219"/>
      <c r="G13" s="219" t="s">
        <v>222</v>
      </c>
      <c r="H13" s="209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9"/>
      <c r="AA13" s="199"/>
      <c r="AB13" s="199"/>
      <c r="AC13" s="199"/>
      <c r="AD13" s="199"/>
      <c r="AE13" s="199"/>
      <c r="AF13" s="265"/>
      <c r="AG13" s="265"/>
      <c r="AH13" s="265"/>
    </row>
    <row r="14">
      <c r="A14" s="270"/>
      <c r="B14" s="221"/>
      <c r="C14" s="217" t="s">
        <v>335</v>
      </c>
      <c r="D14" s="218" t="s">
        <v>297</v>
      </c>
      <c r="E14" s="335"/>
      <c r="F14" s="219"/>
      <c r="G14" s="219"/>
      <c r="H14" s="330" t="s">
        <v>222</v>
      </c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9"/>
      <c r="AA14" s="199"/>
      <c r="AB14" s="199"/>
      <c r="AC14" s="199"/>
      <c r="AD14" s="199"/>
      <c r="AE14" s="199"/>
      <c r="AF14" s="265"/>
      <c r="AG14" s="265"/>
      <c r="AH14" s="265"/>
    </row>
    <row r="15" ht="21.75" customHeight="1">
      <c r="A15" s="226" t="s">
        <v>238</v>
      </c>
      <c r="B15" s="227" t="s">
        <v>239</v>
      </c>
      <c r="C15" s="228"/>
      <c r="D15" s="229"/>
      <c r="E15" s="335"/>
      <c r="F15" s="219"/>
      <c r="G15" s="209"/>
      <c r="H15" s="209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9"/>
      <c r="AA15" s="199"/>
      <c r="AB15" s="199"/>
      <c r="AC15" s="199"/>
      <c r="AD15" s="199"/>
      <c r="AE15" s="199"/>
      <c r="AF15" s="265"/>
      <c r="AG15" s="265"/>
      <c r="AH15" s="265"/>
    </row>
    <row r="16" ht="21.75" customHeight="1">
      <c r="A16" s="307"/>
      <c r="B16" s="231"/>
      <c r="C16" s="228"/>
      <c r="D16" s="232" t="b">
        <v>1</v>
      </c>
      <c r="E16" s="224" t="s">
        <v>222</v>
      </c>
      <c r="F16" s="335"/>
      <c r="G16" s="223"/>
      <c r="H16" s="209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9"/>
      <c r="AA16" s="199"/>
      <c r="AB16" s="199"/>
      <c r="AC16" s="199"/>
      <c r="AD16" s="199"/>
      <c r="AE16" s="199"/>
      <c r="AF16" s="265"/>
      <c r="AG16" s="265"/>
      <c r="AH16" s="265"/>
    </row>
    <row r="17" ht="21.75" customHeight="1">
      <c r="A17" s="307"/>
      <c r="B17" s="234"/>
      <c r="C17" s="235"/>
      <c r="D17" s="232" t="b">
        <v>0</v>
      </c>
      <c r="E17" s="224"/>
      <c r="F17" s="209" t="s">
        <v>222</v>
      </c>
      <c r="G17" s="219" t="s">
        <v>222</v>
      </c>
      <c r="H17" s="330" t="s">
        <v>222</v>
      </c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9"/>
      <c r="AA17" s="199"/>
      <c r="AB17" s="199"/>
      <c r="AC17" s="199"/>
      <c r="AD17" s="199"/>
      <c r="AE17" s="199"/>
      <c r="AF17" s="265"/>
      <c r="AG17" s="265"/>
      <c r="AH17" s="265"/>
    </row>
    <row r="18" ht="21.75" customHeight="1">
      <c r="A18" s="307"/>
      <c r="B18" s="236" t="s">
        <v>240</v>
      </c>
      <c r="C18" s="277"/>
      <c r="D18" s="278"/>
      <c r="E18" s="224"/>
      <c r="F18" s="335"/>
      <c r="G18" s="223"/>
      <c r="H18" s="209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9"/>
      <c r="AA18" s="199"/>
      <c r="AB18" s="199"/>
      <c r="AC18" s="199"/>
      <c r="AD18" s="199"/>
      <c r="AE18" s="199"/>
      <c r="AF18" s="265"/>
      <c r="AG18" s="265"/>
      <c r="AH18" s="265"/>
    </row>
    <row r="19" ht="18.0" customHeight="1">
      <c r="A19" s="307"/>
      <c r="B19" s="237"/>
      <c r="C19" s="280"/>
      <c r="D19" s="281"/>
      <c r="E19" s="224"/>
      <c r="F19" s="335"/>
      <c r="G19" s="223"/>
      <c r="H19" s="209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9"/>
      <c r="AA19" s="199"/>
      <c r="AB19" s="199"/>
      <c r="AC19" s="199"/>
      <c r="AD19" s="199"/>
      <c r="AE19" s="199"/>
      <c r="AF19" s="265"/>
      <c r="AG19" s="265"/>
      <c r="AH19" s="265"/>
    </row>
    <row r="20" ht="18.75" customHeight="1">
      <c r="A20" s="307"/>
      <c r="B20" s="238"/>
      <c r="C20" s="16"/>
      <c r="D20" s="17"/>
      <c r="E20" s="224"/>
      <c r="F20" s="224"/>
      <c r="G20" s="224"/>
      <c r="H20" s="209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9"/>
      <c r="AA20" s="199"/>
      <c r="AB20" s="199"/>
      <c r="AC20" s="199"/>
      <c r="AD20" s="199"/>
      <c r="AE20" s="199"/>
      <c r="AF20" s="265"/>
      <c r="AG20" s="265"/>
      <c r="AH20" s="265"/>
    </row>
    <row r="21" ht="15.75" customHeight="1">
      <c r="A21" s="307"/>
      <c r="B21" s="227" t="s">
        <v>241</v>
      </c>
      <c r="C21" s="228"/>
      <c r="D21" s="229"/>
      <c r="E21" s="224"/>
      <c r="F21" s="224"/>
      <c r="G21" s="224"/>
      <c r="H21" s="209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9"/>
      <c r="AA21" s="199"/>
      <c r="AB21" s="199"/>
      <c r="AC21" s="199"/>
      <c r="AD21" s="199"/>
      <c r="AE21" s="199"/>
      <c r="AF21" s="265"/>
      <c r="AG21" s="265"/>
      <c r="AH21" s="265"/>
    </row>
    <row r="22" ht="37.5" customHeight="1">
      <c r="A22" s="310"/>
      <c r="B22" s="288"/>
      <c r="C22" s="309"/>
      <c r="D22" s="290" t="s">
        <v>342</v>
      </c>
      <c r="E22" s="224" t="s">
        <v>222</v>
      </c>
      <c r="F22" s="224"/>
      <c r="G22" s="224"/>
      <c r="H22" s="209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9"/>
      <c r="AA22" s="199"/>
      <c r="AB22" s="265"/>
      <c r="AC22" s="265"/>
      <c r="AD22" s="265"/>
      <c r="AE22" s="265"/>
      <c r="AF22" s="265"/>
      <c r="AG22" s="265"/>
      <c r="AH22" s="265"/>
    </row>
    <row r="23" ht="27.75" customHeight="1">
      <c r="A23" s="310"/>
      <c r="B23" s="283"/>
      <c r="C23" s="309"/>
      <c r="D23" s="323" t="s">
        <v>343</v>
      </c>
      <c r="E23" s="224"/>
      <c r="F23" s="332" t="s">
        <v>222</v>
      </c>
      <c r="G23" s="224"/>
      <c r="H23" s="209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9"/>
      <c r="AA23" s="199"/>
      <c r="AB23" s="265"/>
      <c r="AC23" s="265"/>
      <c r="AD23" s="265"/>
      <c r="AE23" s="265"/>
      <c r="AF23" s="265"/>
      <c r="AG23" s="265"/>
      <c r="AH23" s="265"/>
    </row>
    <row r="24" ht="34.5" customHeight="1">
      <c r="A24" s="297"/>
      <c r="B24" s="180"/>
      <c r="C24" s="298"/>
      <c r="D24" s="326" t="s">
        <v>300</v>
      </c>
      <c r="E24" s="224"/>
      <c r="F24" s="224"/>
      <c r="G24" s="332" t="s">
        <v>222</v>
      </c>
      <c r="H24" s="330" t="s">
        <v>222</v>
      </c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203"/>
      <c r="AA24" s="203"/>
      <c r="AB24" s="203"/>
      <c r="AC24" s="203"/>
      <c r="AD24" s="265"/>
      <c r="AE24" s="265"/>
      <c r="AF24" s="265"/>
      <c r="AG24" s="265"/>
      <c r="AH24" s="265"/>
    </row>
    <row r="25" ht="15.75" customHeight="1">
      <c r="A25" s="226" t="s">
        <v>249</v>
      </c>
      <c r="B25" s="245" t="s">
        <v>250</v>
      </c>
      <c r="C25" s="246"/>
      <c r="D25" s="247"/>
      <c r="E25" s="248" t="s">
        <v>167</v>
      </c>
      <c r="F25" s="248" t="s">
        <v>62</v>
      </c>
      <c r="G25" s="248" t="s">
        <v>62</v>
      </c>
      <c r="H25" s="248" t="s">
        <v>62</v>
      </c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9"/>
      <c r="AA25" s="199"/>
      <c r="AB25" s="199"/>
      <c r="AC25" s="198"/>
      <c r="AD25" s="198"/>
      <c r="AE25" s="198"/>
      <c r="AF25" s="203"/>
      <c r="AG25" s="203"/>
      <c r="AH25" s="203"/>
    </row>
    <row r="26" ht="15.75" customHeight="1">
      <c r="A26" s="241"/>
      <c r="B26" s="249" t="s">
        <v>251</v>
      </c>
      <c r="C26" s="16"/>
      <c r="D26" s="17"/>
      <c r="E26" s="250" t="s">
        <v>252</v>
      </c>
      <c r="F26" s="250" t="s">
        <v>252</v>
      </c>
      <c r="G26" s="250" t="s">
        <v>252</v>
      </c>
      <c r="H26" s="250" t="s">
        <v>252</v>
      </c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9"/>
      <c r="AA26" s="199"/>
      <c r="AB26" s="199"/>
      <c r="AC26" s="198"/>
      <c r="AD26" s="198"/>
      <c r="AE26" s="198"/>
      <c r="AF26" s="203"/>
      <c r="AG26" s="203"/>
      <c r="AH26" s="203"/>
    </row>
    <row r="27" ht="15.75" customHeight="1">
      <c r="A27" s="241"/>
      <c r="B27" s="251" t="s">
        <v>253</v>
      </c>
      <c r="C27" s="16"/>
      <c r="D27" s="17"/>
      <c r="E27" s="252">
        <v>45948.0</v>
      </c>
      <c r="F27" s="252">
        <v>45948.0</v>
      </c>
      <c r="G27" s="252">
        <v>45948.0</v>
      </c>
      <c r="H27" s="252">
        <v>45948.0</v>
      </c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9"/>
      <c r="AA27" s="199"/>
      <c r="AB27" s="199"/>
      <c r="AC27" s="198"/>
      <c r="AD27" s="198"/>
      <c r="AE27" s="198"/>
      <c r="AF27" s="203"/>
      <c r="AG27" s="203"/>
      <c r="AH27" s="203"/>
    </row>
    <row r="28" ht="74.25" customHeight="1">
      <c r="A28" s="253"/>
      <c r="B28" s="254" t="s">
        <v>254</v>
      </c>
      <c r="C28" s="255"/>
      <c r="D28" s="256"/>
      <c r="E28" s="257"/>
      <c r="F28" s="258"/>
      <c r="G28" s="259"/>
      <c r="H28" s="259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9"/>
      <c r="AA28" s="199"/>
      <c r="AB28" s="199"/>
      <c r="AC28" s="198"/>
      <c r="AD28" s="198"/>
      <c r="AE28" s="198"/>
      <c r="AF28" s="203"/>
      <c r="AG28" s="203"/>
      <c r="AH28" s="203"/>
    </row>
    <row r="29" ht="15.75" customHeight="1">
      <c r="A29" s="198"/>
      <c r="B29" s="198"/>
      <c r="C29" s="198"/>
      <c r="D29" s="198"/>
      <c r="E29" s="198"/>
      <c r="F29" s="198"/>
      <c r="G29" s="199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9"/>
      <c r="AA29" s="199"/>
      <c r="AB29" s="199"/>
      <c r="AC29" s="198"/>
      <c r="AD29" s="198"/>
      <c r="AE29" s="198"/>
      <c r="AF29" s="198"/>
      <c r="AG29" s="198"/>
      <c r="AH29" s="198"/>
    </row>
    <row r="30" ht="15.75" customHeight="1">
      <c r="A30" s="198"/>
      <c r="B30" s="198"/>
      <c r="C30" s="198"/>
      <c r="D30" s="198"/>
      <c r="E30" s="198"/>
      <c r="F30" s="198"/>
      <c r="G30" s="199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9"/>
      <c r="AA30" s="199"/>
      <c r="AB30" s="199"/>
      <c r="AC30" s="198"/>
      <c r="AD30" s="198"/>
      <c r="AE30" s="198"/>
      <c r="AF30" s="198"/>
      <c r="AG30" s="198"/>
      <c r="AH30" s="198"/>
    </row>
    <row r="31" ht="15.75" customHeight="1">
      <c r="A31" s="198"/>
      <c r="B31" s="198"/>
      <c r="C31" s="198"/>
      <c r="D31" s="198"/>
      <c r="E31" s="198"/>
      <c r="F31" s="198"/>
      <c r="G31" s="199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9"/>
      <c r="AA31" s="199"/>
      <c r="AB31" s="199"/>
      <c r="AC31" s="198"/>
      <c r="AD31" s="198"/>
      <c r="AE31" s="198"/>
      <c r="AF31" s="198"/>
      <c r="AG31" s="198"/>
      <c r="AH31" s="198"/>
    </row>
    <row r="32" ht="15.75" customHeight="1">
      <c r="A32" s="198"/>
      <c r="B32" s="198"/>
      <c r="C32" s="198"/>
      <c r="D32" s="198"/>
      <c r="E32" s="198"/>
      <c r="F32" s="198"/>
      <c r="G32" s="199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9"/>
      <c r="AA32" s="199"/>
      <c r="AB32" s="199"/>
      <c r="AC32" s="198"/>
      <c r="AD32" s="198"/>
      <c r="AE32" s="198"/>
      <c r="AF32" s="198"/>
      <c r="AG32" s="198"/>
      <c r="AH32" s="198"/>
    </row>
    <row r="33" ht="15.75" customHeight="1">
      <c r="A33" s="198"/>
      <c r="B33" s="198"/>
      <c r="C33" s="198"/>
      <c r="D33" s="198"/>
      <c r="E33" s="198"/>
      <c r="F33" s="198"/>
      <c r="G33" s="199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9"/>
      <c r="AA33" s="199"/>
      <c r="AB33" s="199"/>
      <c r="AC33" s="198"/>
      <c r="AD33" s="198"/>
      <c r="AE33" s="198"/>
      <c r="AF33" s="198"/>
      <c r="AG33" s="198"/>
      <c r="AH33" s="198"/>
    </row>
    <row r="34" ht="15.75" customHeight="1">
      <c r="A34" s="198"/>
      <c r="B34" s="198"/>
      <c r="C34" s="198"/>
      <c r="D34" s="198"/>
      <c r="E34" s="198"/>
      <c r="F34" s="198"/>
      <c r="G34" s="199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9"/>
      <c r="AA34" s="199"/>
      <c r="AB34" s="199"/>
      <c r="AC34" s="198"/>
      <c r="AD34" s="198"/>
      <c r="AE34" s="198"/>
      <c r="AF34" s="198"/>
      <c r="AG34" s="198"/>
      <c r="AH34" s="198"/>
    </row>
    <row r="35" ht="15.75" customHeight="1">
      <c r="A35" s="198"/>
      <c r="B35" s="198"/>
      <c r="C35" s="198"/>
      <c r="D35" s="198"/>
      <c r="E35" s="198"/>
      <c r="F35" s="198"/>
      <c r="G35" s="199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9"/>
      <c r="AA35" s="199"/>
      <c r="AB35" s="199"/>
      <c r="AC35" s="198"/>
      <c r="AD35" s="198"/>
      <c r="AE35" s="198"/>
      <c r="AF35" s="198"/>
      <c r="AG35" s="198"/>
      <c r="AH35" s="198"/>
    </row>
    <row r="36" ht="15.75" customHeight="1">
      <c r="A36" s="198"/>
      <c r="B36" s="198"/>
      <c r="C36" s="198"/>
      <c r="D36" s="198"/>
      <c r="E36" s="198"/>
      <c r="F36" s="198"/>
      <c r="G36" s="199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9"/>
      <c r="AA36" s="199"/>
      <c r="AB36" s="199"/>
      <c r="AC36" s="198"/>
      <c r="AD36" s="198"/>
      <c r="AE36" s="198"/>
      <c r="AF36" s="198"/>
      <c r="AG36" s="198"/>
      <c r="AH36" s="198"/>
    </row>
    <row r="37" ht="15.75" customHeight="1">
      <c r="A37" s="198"/>
      <c r="B37" s="198"/>
      <c r="C37" s="198"/>
      <c r="D37" s="198"/>
      <c r="E37" s="198"/>
      <c r="F37" s="198"/>
      <c r="G37" s="199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9"/>
      <c r="AA37" s="198"/>
      <c r="AB37" s="198"/>
      <c r="AC37" s="198"/>
      <c r="AD37" s="198"/>
      <c r="AE37" s="198"/>
      <c r="AF37" s="198"/>
      <c r="AG37" s="198"/>
      <c r="AH37" s="198"/>
    </row>
    <row r="38" ht="15.75" customHeight="1">
      <c r="A38" s="198"/>
      <c r="B38" s="198"/>
      <c r="C38" s="198"/>
      <c r="D38" s="198"/>
      <c r="E38" s="198"/>
      <c r="F38" s="198"/>
      <c r="G38" s="199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9"/>
      <c r="AA38" s="198"/>
      <c r="AB38" s="198"/>
      <c r="AC38" s="198"/>
      <c r="AD38" s="198"/>
      <c r="AE38" s="198"/>
      <c r="AF38" s="198"/>
      <c r="AG38" s="198"/>
      <c r="AH38" s="198"/>
    </row>
    <row r="39" ht="15.75" customHeight="1">
      <c r="A39" s="198"/>
      <c r="B39" s="198"/>
      <c r="C39" s="198"/>
      <c r="D39" s="198"/>
      <c r="E39" s="198"/>
      <c r="F39" s="198"/>
      <c r="G39" s="199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9"/>
      <c r="AA39" s="198"/>
      <c r="AB39" s="198"/>
      <c r="AC39" s="198"/>
      <c r="AD39" s="198"/>
      <c r="AE39" s="198"/>
      <c r="AF39" s="198"/>
      <c r="AG39" s="198"/>
      <c r="AH39" s="198"/>
    </row>
    <row r="40" ht="15.75" customHeight="1">
      <c r="A40" s="198"/>
      <c r="B40" s="198"/>
      <c r="C40" s="198"/>
      <c r="D40" s="198"/>
      <c r="E40" s="198"/>
      <c r="F40" s="198"/>
      <c r="G40" s="199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9"/>
      <c r="AA40" s="198"/>
      <c r="AB40" s="198"/>
      <c r="AC40" s="198"/>
      <c r="AD40" s="198"/>
      <c r="AE40" s="198"/>
      <c r="AF40" s="198"/>
      <c r="AG40" s="198"/>
      <c r="AH40" s="198"/>
    </row>
    <row r="41" ht="15.75" customHeight="1">
      <c r="A41" s="198"/>
      <c r="B41" s="198"/>
      <c r="C41" s="198"/>
      <c r="D41" s="198"/>
      <c r="E41" s="198"/>
      <c r="F41" s="198"/>
      <c r="G41" s="199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9"/>
      <c r="AA41" s="198"/>
      <c r="AB41" s="198"/>
      <c r="AC41" s="198"/>
      <c r="AD41" s="198"/>
      <c r="AE41" s="198"/>
      <c r="AF41" s="198"/>
      <c r="AG41" s="198"/>
      <c r="AH41" s="198"/>
    </row>
    <row r="42" ht="15.75" customHeight="1">
      <c r="A42" s="198"/>
      <c r="B42" s="198"/>
      <c r="C42" s="198"/>
      <c r="D42" s="198"/>
      <c r="E42" s="198"/>
      <c r="F42" s="198"/>
      <c r="G42" s="199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9"/>
      <c r="AA42" s="198"/>
      <c r="AB42" s="198"/>
      <c r="AC42" s="198"/>
      <c r="AD42" s="198"/>
      <c r="AE42" s="198"/>
      <c r="AF42" s="198"/>
      <c r="AG42" s="198"/>
      <c r="AH42" s="198"/>
    </row>
    <row r="43" ht="15.75" customHeight="1">
      <c r="A43" s="198"/>
      <c r="B43" s="198"/>
      <c r="C43" s="198"/>
      <c r="D43" s="198"/>
      <c r="E43" s="198"/>
      <c r="F43" s="198"/>
      <c r="G43" s="199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9"/>
      <c r="AA43" s="198"/>
      <c r="AB43" s="198"/>
      <c r="AC43" s="198"/>
      <c r="AD43" s="198"/>
      <c r="AE43" s="198"/>
      <c r="AF43" s="198"/>
      <c r="AG43" s="198"/>
      <c r="AH43" s="198"/>
    </row>
    <row r="44" ht="15.75" customHeight="1">
      <c r="A44" s="198"/>
      <c r="B44" s="198"/>
      <c r="C44" s="198"/>
      <c r="D44" s="198"/>
      <c r="E44" s="198"/>
      <c r="F44" s="198"/>
      <c r="G44" s="199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9"/>
      <c r="AA44" s="198"/>
      <c r="AB44" s="198"/>
      <c r="AC44" s="198"/>
      <c r="AD44" s="198"/>
      <c r="AE44" s="198"/>
      <c r="AF44" s="198"/>
      <c r="AG44" s="198"/>
      <c r="AH44" s="198"/>
    </row>
    <row r="45" ht="15.75" customHeight="1">
      <c r="A45" s="198"/>
      <c r="B45" s="198"/>
      <c r="C45" s="198"/>
      <c r="D45" s="198"/>
      <c r="E45" s="198"/>
      <c r="F45" s="198"/>
      <c r="G45" s="199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9"/>
      <c r="AA45" s="198"/>
      <c r="AB45" s="198"/>
      <c r="AC45" s="198"/>
      <c r="AD45" s="198"/>
      <c r="AE45" s="198"/>
      <c r="AF45" s="198"/>
      <c r="AG45" s="198"/>
      <c r="AH45" s="198"/>
    </row>
    <row r="46" ht="15.75" customHeight="1">
      <c r="A46" s="198"/>
      <c r="B46" s="198"/>
      <c r="C46" s="198"/>
      <c r="D46" s="198"/>
      <c r="E46" s="198"/>
      <c r="F46" s="198"/>
      <c r="G46" s="199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9"/>
      <c r="AA46" s="198"/>
      <c r="AB46" s="198"/>
      <c r="AC46" s="198"/>
      <c r="AD46" s="198"/>
      <c r="AE46" s="198"/>
      <c r="AF46" s="198"/>
      <c r="AG46" s="198"/>
      <c r="AH46" s="198"/>
    </row>
    <row r="47" ht="15.75" customHeight="1">
      <c r="A47" s="198"/>
      <c r="B47" s="198"/>
      <c r="C47" s="198"/>
      <c r="D47" s="198"/>
      <c r="E47" s="198"/>
      <c r="F47" s="198"/>
      <c r="G47" s="199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9"/>
      <c r="AA47" s="198"/>
      <c r="AB47" s="198"/>
      <c r="AC47" s="198"/>
      <c r="AD47" s="198"/>
      <c r="AE47" s="198"/>
      <c r="AF47" s="198"/>
      <c r="AG47" s="198"/>
      <c r="AH47" s="198"/>
    </row>
    <row r="48" ht="15.75" customHeight="1">
      <c r="A48" s="198"/>
      <c r="B48" s="198"/>
      <c r="C48" s="198"/>
      <c r="D48" s="198"/>
      <c r="E48" s="198"/>
      <c r="F48" s="198"/>
      <c r="G48" s="199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9"/>
      <c r="AA48" s="198"/>
      <c r="AB48" s="198"/>
      <c r="AC48" s="198"/>
      <c r="AD48" s="198"/>
      <c r="AE48" s="198"/>
      <c r="AF48" s="198"/>
      <c r="AG48" s="198"/>
      <c r="AH48" s="198"/>
    </row>
    <row r="49" ht="15.75" customHeight="1">
      <c r="A49" s="198"/>
      <c r="B49" s="198"/>
      <c r="C49" s="198"/>
      <c r="D49" s="198"/>
      <c r="E49" s="198"/>
      <c r="F49" s="198"/>
      <c r="G49" s="199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9"/>
      <c r="AA49" s="198"/>
      <c r="AB49" s="198"/>
      <c r="AC49" s="198"/>
      <c r="AD49" s="198"/>
      <c r="AE49" s="198"/>
      <c r="AF49" s="198"/>
      <c r="AG49" s="198"/>
      <c r="AH49" s="198"/>
    </row>
    <row r="50" ht="15.75" customHeight="1">
      <c r="A50" s="198"/>
      <c r="B50" s="198"/>
      <c r="C50" s="198"/>
      <c r="D50" s="198"/>
      <c r="E50" s="198"/>
      <c r="F50" s="198"/>
      <c r="G50" s="199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9"/>
      <c r="AA50" s="198"/>
      <c r="AB50" s="198"/>
      <c r="AC50" s="198"/>
      <c r="AD50" s="198"/>
      <c r="AE50" s="198"/>
      <c r="AF50" s="198"/>
      <c r="AG50" s="198"/>
      <c r="AH50" s="198"/>
    </row>
    <row r="51" ht="15.75" customHeight="1">
      <c r="A51" s="198"/>
      <c r="B51" s="198"/>
      <c r="C51" s="198"/>
      <c r="D51" s="198"/>
      <c r="E51" s="198"/>
      <c r="F51" s="198"/>
      <c r="G51" s="199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9"/>
      <c r="AA51" s="198"/>
      <c r="AB51" s="198"/>
      <c r="AC51" s="198"/>
      <c r="AD51" s="198"/>
      <c r="AE51" s="198"/>
      <c r="AF51" s="198"/>
      <c r="AG51" s="198"/>
      <c r="AH51" s="198"/>
    </row>
    <row r="52" ht="15.75" customHeight="1">
      <c r="A52" s="198"/>
      <c r="B52" s="198"/>
      <c r="C52" s="198"/>
      <c r="D52" s="198"/>
      <c r="E52" s="198"/>
      <c r="F52" s="198"/>
      <c r="G52" s="199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9"/>
      <c r="AA52" s="198"/>
      <c r="AB52" s="198"/>
      <c r="AC52" s="198"/>
      <c r="AD52" s="198"/>
      <c r="AE52" s="198"/>
      <c r="AF52" s="198"/>
      <c r="AG52" s="198"/>
      <c r="AH52" s="198"/>
    </row>
    <row r="53" ht="15.75" customHeight="1">
      <c r="A53" s="198"/>
      <c r="B53" s="198"/>
      <c r="C53" s="198"/>
      <c r="D53" s="198"/>
      <c r="E53" s="198"/>
      <c r="F53" s="198"/>
      <c r="G53" s="199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9"/>
      <c r="AA53" s="198"/>
      <c r="AB53" s="198"/>
      <c r="AC53" s="198"/>
      <c r="AD53" s="198"/>
      <c r="AE53" s="198"/>
      <c r="AF53" s="198"/>
      <c r="AG53" s="198"/>
      <c r="AH53" s="198"/>
    </row>
    <row r="54" ht="15.75" customHeight="1">
      <c r="A54" s="198"/>
      <c r="B54" s="198"/>
      <c r="C54" s="198"/>
      <c r="D54" s="198"/>
      <c r="E54" s="198"/>
      <c r="F54" s="198"/>
      <c r="G54" s="199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9"/>
      <c r="AA54" s="198"/>
      <c r="AB54" s="198"/>
      <c r="AC54" s="198"/>
      <c r="AD54" s="198"/>
      <c r="AE54" s="198"/>
      <c r="AF54" s="198"/>
      <c r="AG54" s="198"/>
      <c r="AH54" s="198"/>
    </row>
    <row r="55" ht="15.75" customHeight="1">
      <c r="A55" s="198"/>
      <c r="B55" s="198"/>
      <c r="C55" s="198"/>
      <c r="D55" s="198"/>
      <c r="E55" s="198"/>
      <c r="F55" s="198"/>
      <c r="G55" s="199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9"/>
      <c r="AA55" s="198"/>
      <c r="AB55" s="198"/>
      <c r="AC55" s="198"/>
      <c r="AD55" s="198"/>
      <c r="AE55" s="198"/>
      <c r="AF55" s="198"/>
      <c r="AG55" s="198"/>
      <c r="AH55" s="198"/>
    </row>
    <row r="56" ht="15.75" customHeight="1">
      <c r="A56" s="198"/>
      <c r="B56" s="198"/>
      <c r="C56" s="198"/>
      <c r="D56" s="198"/>
      <c r="E56" s="198"/>
      <c r="F56" s="198"/>
      <c r="G56" s="199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9"/>
      <c r="AA56" s="198"/>
      <c r="AB56" s="198"/>
      <c r="AC56" s="198"/>
      <c r="AD56" s="198"/>
      <c r="AE56" s="198"/>
      <c r="AF56" s="198"/>
      <c r="AG56" s="198"/>
      <c r="AH56" s="198"/>
    </row>
    <row r="57" ht="15.75" customHeight="1">
      <c r="A57" s="198"/>
      <c r="B57" s="198"/>
      <c r="C57" s="198"/>
      <c r="D57" s="198"/>
      <c r="E57" s="198"/>
      <c r="F57" s="198"/>
      <c r="G57" s="199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9"/>
      <c r="AA57" s="198"/>
      <c r="AB57" s="198"/>
      <c r="AC57" s="198"/>
      <c r="AD57" s="198"/>
      <c r="AE57" s="198"/>
      <c r="AF57" s="198"/>
      <c r="AG57" s="198"/>
      <c r="AH57" s="198"/>
    </row>
    <row r="58" ht="15.75" customHeight="1">
      <c r="A58" s="198"/>
      <c r="B58" s="198"/>
      <c r="C58" s="198"/>
      <c r="D58" s="198"/>
      <c r="E58" s="198"/>
      <c r="F58" s="198"/>
      <c r="G58" s="199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9"/>
      <c r="AA58" s="198"/>
      <c r="AB58" s="198"/>
      <c r="AC58" s="198"/>
      <c r="AD58" s="198"/>
      <c r="AE58" s="198"/>
      <c r="AF58" s="198"/>
      <c r="AG58" s="198"/>
      <c r="AH58" s="198"/>
    </row>
    <row r="59" ht="15.75" customHeight="1">
      <c r="A59" s="198"/>
      <c r="B59" s="198"/>
      <c r="C59" s="198"/>
      <c r="D59" s="198"/>
      <c r="E59" s="198"/>
      <c r="F59" s="198"/>
      <c r="G59" s="199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9"/>
      <c r="AA59" s="198"/>
      <c r="AB59" s="198"/>
      <c r="AC59" s="198"/>
      <c r="AD59" s="198"/>
      <c r="AE59" s="198"/>
      <c r="AF59" s="198"/>
      <c r="AG59" s="198"/>
      <c r="AH59" s="198"/>
    </row>
    <row r="60" ht="15.75" customHeight="1">
      <c r="A60" s="198"/>
      <c r="B60" s="198"/>
      <c r="C60" s="198"/>
      <c r="D60" s="198"/>
      <c r="E60" s="198"/>
      <c r="F60" s="198"/>
      <c r="G60" s="199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9"/>
      <c r="AA60" s="198"/>
      <c r="AB60" s="198"/>
      <c r="AC60" s="198"/>
      <c r="AD60" s="198"/>
      <c r="AE60" s="198"/>
      <c r="AF60" s="198"/>
      <c r="AG60" s="198"/>
      <c r="AH60" s="198"/>
    </row>
    <row r="61" ht="15.75" customHeight="1">
      <c r="A61" s="198"/>
      <c r="B61" s="198"/>
      <c r="C61" s="198"/>
      <c r="D61" s="198"/>
      <c r="E61" s="198"/>
      <c r="F61" s="198"/>
      <c r="G61" s="199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9"/>
      <c r="AA61" s="198"/>
      <c r="AB61" s="198"/>
      <c r="AC61" s="198"/>
      <c r="AD61" s="198"/>
      <c r="AE61" s="198"/>
      <c r="AF61" s="198"/>
      <c r="AG61" s="198"/>
      <c r="AH61" s="198"/>
    </row>
    <row r="62" ht="15.75" customHeight="1">
      <c r="A62" s="198"/>
      <c r="B62" s="198"/>
      <c r="C62" s="198"/>
      <c r="D62" s="198"/>
      <c r="E62" s="198"/>
      <c r="F62" s="198"/>
      <c r="G62" s="199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9"/>
      <c r="AA62" s="198"/>
      <c r="AB62" s="198"/>
      <c r="AC62" s="198"/>
      <c r="AD62" s="198"/>
      <c r="AE62" s="198"/>
      <c r="AF62" s="198"/>
      <c r="AG62" s="198"/>
      <c r="AH62" s="198"/>
    </row>
    <row r="63" ht="15.75" customHeight="1">
      <c r="A63" s="198"/>
      <c r="B63" s="198"/>
      <c r="C63" s="198"/>
      <c r="D63" s="198"/>
      <c r="E63" s="198"/>
      <c r="F63" s="198"/>
      <c r="G63" s="199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9"/>
      <c r="AA63" s="198"/>
      <c r="AB63" s="198"/>
      <c r="AC63" s="198"/>
      <c r="AD63" s="198"/>
      <c r="AE63" s="198"/>
      <c r="AF63" s="198"/>
      <c r="AG63" s="198"/>
      <c r="AH63" s="198"/>
    </row>
    <row r="64" ht="15.75" customHeight="1">
      <c r="A64" s="198"/>
      <c r="B64" s="198"/>
      <c r="C64" s="198"/>
      <c r="D64" s="198"/>
      <c r="E64" s="198"/>
      <c r="F64" s="198"/>
      <c r="G64" s="199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9"/>
      <c r="AA64" s="198"/>
      <c r="AB64" s="198"/>
      <c r="AC64" s="198"/>
      <c r="AD64" s="198"/>
      <c r="AE64" s="198"/>
      <c r="AF64" s="198"/>
      <c r="AG64" s="198"/>
      <c r="AH64" s="198"/>
    </row>
    <row r="65" ht="15.75" customHeight="1">
      <c r="A65" s="198"/>
      <c r="B65" s="198"/>
      <c r="C65" s="198"/>
      <c r="D65" s="198"/>
      <c r="E65" s="198"/>
      <c r="F65" s="198"/>
      <c r="G65" s="199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9"/>
      <c r="AA65" s="198"/>
      <c r="AB65" s="198"/>
      <c r="AC65" s="198"/>
      <c r="AD65" s="198"/>
      <c r="AE65" s="198"/>
      <c r="AF65" s="198"/>
      <c r="AG65" s="198"/>
      <c r="AH65" s="198"/>
    </row>
    <row r="66" ht="15.75" customHeight="1">
      <c r="A66" s="198"/>
      <c r="B66" s="198"/>
      <c r="C66" s="198"/>
      <c r="D66" s="198"/>
      <c r="E66" s="198"/>
      <c r="F66" s="198"/>
      <c r="G66" s="199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9"/>
      <c r="AA66" s="198"/>
      <c r="AB66" s="198"/>
      <c r="AC66" s="198"/>
      <c r="AD66" s="198"/>
      <c r="AE66" s="198"/>
      <c r="AF66" s="198"/>
      <c r="AG66" s="198"/>
      <c r="AH66" s="198"/>
    </row>
    <row r="67" ht="15.75" customHeight="1">
      <c r="A67" s="198"/>
      <c r="B67" s="198"/>
      <c r="C67" s="198"/>
      <c r="D67" s="198"/>
      <c r="E67" s="198"/>
      <c r="F67" s="198"/>
      <c r="G67" s="199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9"/>
      <c r="AA67" s="198"/>
      <c r="AB67" s="198"/>
      <c r="AC67" s="198"/>
      <c r="AD67" s="198"/>
      <c r="AE67" s="198"/>
      <c r="AF67" s="198"/>
      <c r="AG67" s="198"/>
      <c r="AH67" s="198"/>
    </row>
    <row r="68" ht="15.75" customHeight="1">
      <c r="A68" s="198"/>
      <c r="B68" s="198"/>
      <c r="C68" s="198"/>
      <c r="D68" s="198"/>
      <c r="E68" s="198"/>
      <c r="F68" s="198"/>
      <c r="G68" s="199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9"/>
      <c r="AA68" s="198"/>
      <c r="AB68" s="198"/>
      <c r="AC68" s="198"/>
      <c r="AD68" s="198"/>
      <c r="AE68" s="198"/>
      <c r="AF68" s="198"/>
      <c r="AG68" s="198"/>
      <c r="AH68" s="198"/>
    </row>
    <row r="69" ht="15.75" customHeight="1">
      <c r="A69" s="198"/>
      <c r="B69" s="198"/>
      <c r="C69" s="198"/>
      <c r="D69" s="198"/>
      <c r="E69" s="198"/>
      <c r="F69" s="198"/>
      <c r="G69" s="199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9"/>
      <c r="AA69" s="198"/>
      <c r="AB69" s="198"/>
      <c r="AC69" s="198"/>
      <c r="AD69" s="198"/>
      <c r="AE69" s="198"/>
      <c r="AF69" s="198"/>
      <c r="AG69" s="198"/>
      <c r="AH69" s="198"/>
    </row>
    <row r="70" ht="15.75" customHeight="1">
      <c r="A70" s="198"/>
      <c r="B70" s="198"/>
      <c r="C70" s="198"/>
      <c r="D70" s="198"/>
      <c r="E70" s="198"/>
      <c r="F70" s="198"/>
      <c r="G70" s="199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9"/>
      <c r="AA70" s="198"/>
      <c r="AB70" s="198"/>
      <c r="AC70" s="198"/>
      <c r="AD70" s="198"/>
      <c r="AE70" s="198"/>
      <c r="AF70" s="198"/>
      <c r="AG70" s="198"/>
      <c r="AH70" s="198"/>
    </row>
    <row r="71" ht="15.75" customHeight="1">
      <c r="A71" s="198"/>
      <c r="B71" s="198"/>
      <c r="C71" s="198"/>
      <c r="D71" s="198"/>
      <c r="E71" s="198"/>
      <c r="F71" s="198"/>
      <c r="G71" s="199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9"/>
      <c r="AA71" s="198"/>
      <c r="AB71" s="198"/>
      <c r="AC71" s="198"/>
      <c r="AD71" s="198"/>
      <c r="AE71" s="198"/>
      <c r="AF71" s="198"/>
      <c r="AG71" s="198"/>
      <c r="AH71" s="198"/>
    </row>
    <row r="72" ht="15.75" customHeight="1">
      <c r="A72" s="198"/>
      <c r="B72" s="198"/>
      <c r="C72" s="198"/>
      <c r="D72" s="198"/>
      <c r="E72" s="198"/>
      <c r="F72" s="198"/>
      <c r="G72" s="199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9"/>
      <c r="AA72" s="198"/>
      <c r="AB72" s="198"/>
      <c r="AC72" s="198"/>
      <c r="AD72" s="198"/>
      <c r="AE72" s="198"/>
      <c r="AF72" s="198"/>
      <c r="AG72" s="198"/>
      <c r="AH72" s="198"/>
    </row>
    <row r="73" ht="15.75" customHeight="1">
      <c r="A73" s="198"/>
      <c r="B73" s="198"/>
      <c r="C73" s="198"/>
      <c r="D73" s="198"/>
      <c r="E73" s="198"/>
      <c r="F73" s="198"/>
      <c r="G73" s="199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9"/>
      <c r="AA73" s="198"/>
      <c r="AB73" s="198"/>
      <c r="AC73" s="198"/>
      <c r="AD73" s="198"/>
      <c r="AE73" s="198"/>
      <c r="AF73" s="198"/>
      <c r="AG73" s="198"/>
      <c r="AH73" s="198"/>
    </row>
    <row r="74" ht="15.75" customHeight="1">
      <c r="A74" s="198"/>
      <c r="B74" s="198"/>
      <c r="C74" s="198"/>
      <c r="D74" s="198"/>
      <c r="E74" s="198"/>
      <c r="F74" s="198"/>
      <c r="G74" s="199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9"/>
      <c r="AA74" s="198"/>
      <c r="AB74" s="198"/>
      <c r="AC74" s="198"/>
      <c r="AD74" s="198"/>
      <c r="AE74" s="198"/>
      <c r="AF74" s="198"/>
      <c r="AG74" s="198"/>
      <c r="AH74" s="198"/>
    </row>
    <row r="75" ht="15.75" customHeight="1">
      <c r="A75" s="198"/>
      <c r="B75" s="198"/>
      <c r="C75" s="198"/>
      <c r="D75" s="198"/>
      <c r="E75" s="198"/>
      <c r="F75" s="198"/>
      <c r="G75" s="199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9"/>
      <c r="AA75" s="198"/>
      <c r="AB75" s="198"/>
      <c r="AC75" s="198"/>
      <c r="AD75" s="198"/>
      <c r="AE75" s="198"/>
      <c r="AF75" s="198"/>
      <c r="AG75" s="198"/>
      <c r="AH75" s="198"/>
    </row>
    <row r="76" ht="15.75" customHeight="1">
      <c r="A76" s="198"/>
      <c r="B76" s="198"/>
      <c r="C76" s="198"/>
      <c r="D76" s="198"/>
      <c r="E76" s="198"/>
      <c r="F76" s="198"/>
      <c r="G76" s="199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9"/>
      <c r="AA76" s="198"/>
      <c r="AB76" s="198"/>
      <c r="AC76" s="198"/>
      <c r="AD76" s="198"/>
      <c r="AE76" s="198"/>
      <c r="AF76" s="198"/>
      <c r="AG76" s="198"/>
      <c r="AH76" s="198"/>
    </row>
    <row r="77" ht="15.75" customHeight="1">
      <c r="A77" s="198"/>
      <c r="B77" s="198"/>
      <c r="C77" s="198"/>
      <c r="D77" s="198"/>
      <c r="E77" s="198"/>
      <c r="F77" s="198"/>
      <c r="G77" s="199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9"/>
      <c r="AA77" s="198"/>
      <c r="AB77" s="198"/>
      <c r="AC77" s="198"/>
      <c r="AD77" s="198"/>
      <c r="AE77" s="198"/>
      <c r="AF77" s="198"/>
      <c r="AG77" s="198"/>
      <c r="AH77" s="198"/>
    </row>
    <row r="78" ht="15.75" customHeight="1">
      <c r="A78" s="198"/>
      <c r="B78" s="198"/>
      <c r="C78" s="198"/>
      <c r="D78" s="198"/>
      <c r="E78" s="198"/>
      <c r="F78" s="198"/>
      <c r="G78" s="199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9"/>
      <c r="AA78" s="198"/>
      <c r="AB78" s="198"/>
      <c r="AC78" s="198"/>
      <c r="AD78" s="198"/>
      <c r="AE78" s="198"/>
      <c r="AF78" s="198"/>
      <c r="AG78" s="198"/>
      <c r="AH78" s="198"/>
    </row>
    <row r="79" ht="15.75" customHeight="1">
      <c r="A79" s="198"/>
      <c r="B79" s="198"/>
      <c r="C79" s="198"/>
      <c r="D79" s="198"/>
      <c r="E79" s="198"/>
      <c r="F79" s="198"/>
      <c r="G79" s="199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9"/>
      <c r="AA79" s="198"/>
      <c r="AB79" s="198"/>
      <c r="AC79" s="198"/>
      <c r="AD79" s="198"/>
      <c r="AE79" s="198"/>
      <c r="AF79" s="198"/>
      <c r="AG79" s="198"/>
      <c r="AH79" s="198"/>
    </row>
    <row r="80" ht="15.75" customHeight="1">
      <c r="A80" s="198"/>
      <c r="B80" s="198"/>
      <c r="C80" s="198"/>
      <c r="D80" s="198"/>
      <c r="E80" s="198"/>
      <c r="F80" s="198"/>
      <c r="G80" s="199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9"/>
      <c r="AA80" s="198"/>
      <c r="AB80" s="198"/>
      <c r="AC80" s="198"/>
      <c r="AD80" s="198"/>
      <c r="AE80" s="198"/>
      <c r="AF80" s="198"/>
      <c r="AG80" s="198"/>
      <c r="AH80" s="198"/>
    </row>
    <row r="81" ht="15.75" customHeight="1">
      <c r="A81" s="198"/>
      <c r="B81" s="198"/>
      <c r="C81" s="198"/>
      <c r="D81" s="198"/>
      <c r="E81" s="198"/>
      <c r="F81" s="198"/>
      <c r="G81" s="199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9"/>
      <c r="AA81" s="198"/>
      <c r="AB81" s="198"/>
      <c r="AC81" s="198"/>
      <c r="AD81" s="198"/>
      <c r="AE81" s="198"/>
      <c r="AF81" s="198"/>
      <c r="AG81" s="198"/>
      <c r="AH81" s="198"/>
    </row>
    <row r="82" ht="15.75" customHeight="1">
      <c r="A82" s="198"/>
      <c r="B82" s="198"/>
      <c r="C82" s="198"/>
      <c r="D82" s="198"/>
      <c r="E82" s="198"/>
      <c r="F82" s="198"/>
      <c r="G82" s="199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9"/>
      <c r="AA82" s="198"/>
      <c r="AB82" s="198"/>
      <c r="AC82" s="198"/>
      <c r="AD82" s="198"/>
      <c r="AE82" s="198"/>
      <c r="AF82" s="198"/>
      <c r="AG82" s="198"/>
      <c r="AH82" s="198"/>
    </row>
    <row r="83" ht="15.75" customHeight="1">
      <c r="A83" s="198"/>
      <c r="B83" s="198"/>
      <c r="C83" s="198"/>
      <c r="D83" s="198"/>
      <c r="E83" s="198"/>
      <c r="F83" s="198"/>
      <c r="G83" s="199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9"/>
      <c r="AA83" s="198"/>
      <c r="AB83" s="198"/>
      <c r="AC83" s="198"/>
      <c r="AD83" s="198"/>
      <c r="AE83" s="198"/>
      <c r="AF83" s="198"/>
      <c r="AG83" s="198"/>
      <c r="AH83" s="198"/>
    </row>
    <row r="84" ht="15.75" customHeight="1">
      <c r="A84" s="198"/>
      <c r="B84" s="198"/>
      <c r="C84" s="198"/>
      <c r="D84" s="198"/>
      <c r="E84" s="198"/>
      <c r="F84" s="198"/>
      <c r="G84" s="199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9"/>
      <c r="AA84" s="198"/>
      <c r="AB84" s="198"/>
      <c r="AC84" s="198"/>
      <c r="AD84" s="198"/>
      <c r="AE84" s="198"/>
      <c r="AF84" s="198"/>
      <c r="AG84" s="198"/>
      <c r="AH84" s="198"/>
    </row>
    <row r="85" ht="15.75" customHeight="1">
      <c r="A85" s="198"/>
      <c r="B85" s="198"/>
      <c r="C85" s="198"/>
      <c r="D85" s="198"/>
      <c r="E85" s="198"/>
      <c r="F85" s="198"/>
      <c r="G85" s="199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9"/>
      <c r="AA85" s="198"/>
      <c r="AB85" s="198"/>
      <c r="AC85" s="198"/>
      <c r="AD85" s="198"/>
      <c r="AE85" s="198"/>
      <c r="AF85" s="198"/>
      <c r="AG85" s="198"/>
      <c r="AH85" s="198"/>
    </row>
    <row r="86" ht="15.75" customHeight="1">
      <c r="A86" s="198"/>
      <c r="B86" s="198"/>
      <c r="C86" s="198"/>
      <c r="D86" s="198"/>
      <c r="E86" s="198"/>
      <c r="F86" s="198"/>
      <c r="G86" s="199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9"/>
      <c r="AA86" s="198"/>
      <c r="AB86" s="198"/>
      <c r="AC86" s="198"/>
      <c r="AD86" s="198"/>
      <c r="AE86" s="198"/>
      <c r="AF86" s="198"/>
      <c r="AG86" s="198"/>
      <c r="AH86" s="198"/>
    </row>
    <row r="87" ht="15.75" customHeight="1">
      <c r="A87" s="198"/>
      <c r="B87" s="198"/>
      <c r="C87" s="198"/>
      <c r="D87" s="198"/>
      <c r="E87" s="198"/>
      <c r="F87" s="198"/>
      <c r="G87" s="199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9"/>
      <c r="AA87" s="198"/>
      <c r="AB87" s="198"/>
      <c r="AC87" s="198"/>
      <c r="AD87" s="198"/>
      <c r="AE87" s="198"/>
      <c r="AF87" s="198"/>
      <c r="AG87" s="198"/>
      <c r="AH87" s="198"/>
    </row>
    <row r="88" ht="15.75" customHeight="1">
      <c r="A88" s="198"/>
      <c r="B88" s="198"/>
      <c r="C88" s="198"/>
      <c r="D88" s="198"/>
      <c r="E88" s="198"/>
      <c r="F88" s="198"/>
      <c r="G88" s="199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9"/>
      <c r="AA88" s="198"/>
      <c r="AB88" s="198"/>
      <c r="AC88" s="198"/>
      <c r="AD88" s="198"/>
      <c r="AE88" s="198"/>
      <c r="AF88" s="198"/>
      <c r="AG88" s="198"/>
      <c r="AH88" s="198"/>
    </row>
    <row r="89" ht="15.75" customHeight="1">
      <c r="A89" s="198"/>
      <c r="B89" s="198"/>
      <c r="C89" s="198"/>
      <c r="D89" s="198"/>
      <c r="E89" s="198"/>
      <c r="F89" s="198"/>
      <c r="G89" s="199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9"/>
      <c r="AA89" s="198"/>
      <c r="AB89" s="198"/>
      <c r="AC89" s="198"/>
      <c r="AD89" s="198"/>
      <c r="AE89" s="198"/>
      <c r="AF89" s="198"/>
      <c r="AG89" s="198"/>
      <c r="AH89" s="198"/>
    </row>
    <row r="90" ht="15.75" customHeight="1">
      <c r="A90" s="198"/>
      <c r="B90" s="198"/>
      <c r="C90" s="198"/>
      <c r="D90" s="198"/>
      <c r="E90" s="198"/>
      <c r="F90" s="198"/>
      <c r="G90" s="199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9"/>
      <c r="AA90" s="198"/>
      <c r="AB90" s="198"/>
      <c r="AC90" s="198"/>
      <c r="AD90" s="198"/>
      <c r="AE90" s="198"/>
      <c r="AF90" s="198"/>
      <c r="AG90" s="198"/>
      <c r="AH90" s="198"/>
    </row>
    <row r="91" ht="15.75" customHeight="1">
      <c r="A91" s="198"/>
      <c r="B91" s="198"/>
      <c r="C91" s="198"/>
      <c r="D91" s="198"/>
      <c r="E91" s="198"/>
      <c r="F91" s="198"/>
      <c r="G91" s="199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9"/>
      <c r="AA91" s="198"/>
      <c r="AB91" s="198"/>
      <c r="AC91" s="198"/>
      <c r="AD91" s="198"/>
      <c r="AE91" s="198"/>
      <c r="AF91" s="198"/>
      <c r="AG91" s="198"/>
      <c r="AH91" s="198"/>
    </row>
    <row r="92" ht="15.75" customHeight="1">
      <c r="A92" s="198"/>
      <c r="B92" s="198"/>
      <c r="C92" s="198"/>
      <c r="D92" s="198"/>
      <c r="E92" s="198"/>
      <c r="F92" s="198"/>
      <c r="G92" s="199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9"/>
      <c r="AA92" s="198"/>
      <c r="AB92" s="198"/>
      <c r="AC92" s="198"/>
      <c r="AD92" s="198"/>
      <c r="AE92" s="198"/>
      <c r="AF92" s="198"/>
      <c r="AG92" s="198"/>
      <c r="AH92" s="198"/>
    </row>
    <row r="93" ht="15.75" customHeight="1">
      <c r="A93" s="198"/>
      <c r="B93" s="198"/>
      <c r="C93" s="198"/>
      <c r="D93" s="198"/>
      <c r="E93" s="198"/>
      <c r="F93" s="198"/>
      <c r="G93" s="199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9"/>
      <c r="AA93" s="198"/>
      <c r="AB93" s="198"/>
      <c r="AC93" s="198"/>
      <c r="AD93" s="198"/>
      <c r="AE93" s="198"/>
      <c r="AF93" s="198"/>
      <c r="AG93" s="198"/>
      <c r="AH93" s="198"/>
    </row>
    <row r="94" ht="15.75" customHeight="1">
      <c r="A94" s="198"/>
      <c r="B94" s="198"/>
      <c r="C94" s="198"/>
      <c r="D94" s="198"/>
      <c r="E94" s="198"/>
      <c r="F94" s="198"/>
      <c r="G94" s="199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9"/>
      <c r="AA94" s="198"/>
      <c r="AB94" s="198"/>
      <c r="AC94" s="198"/>
      <c r="AD94" s="198"/>
      <c r="AE94" s="198"/>
      <c r="AF94" s="198"/>
      <c r="AG94" s="198"/>
      <c r="AH94" s="198"/>
    </row>
    <row r="95" ht="15.75" customHeight="1">
      <c r="A95" s="198"/>
      <c r="B95" s="198"/>
      <c r="C95" s="198"/>
      <c r="D95" s="198"/>
      <c r="E95" s="198"/>
      <c r="F95" s="198"/>
      <c r="G95" s="199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9"/>
      <c r="AA95" s="198"/>
      <c r="AB95" s="198"/>
      <c r="AC95" s="198"/>
      <c r="AD95" s="198"/>
      <c r="AE95" s="198"/>
      <c r="AF95" s="198"/>
      <c r="AG95" s="198"/>
      <c r="AH95" s="198"/>
    </row>
    <row r="96" ht="15.75" customHeight="1">
      <c r="A96" s="198"/>
      <c r="B96" s="198"/>
      <c r="C96" s="198"/>
      <c r="D96" s="198"/>
      <c r="E96" s="198"/>
      <c r="F96" s="198"/>
      <c r="G96" s="199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9"/>
      <c r="AA96" s="198"/>
      <c r="AB96" s="198"/>
      <c r="AC96" s="198"/>
      <c r="AD96" s="198"/>
      <c r="AE96" s="198"/>
      <c r="AF96" s="198"/>
      <c r="AG96" s="198"/>
      <c r="AH96" s="198"/>
    </row>
    <row r="97" ht="15.75" customHeight="1">
      <c r="A97" s="198"/>
      <c r="B97" s="198"/>
      <c r="C97" s="198"/>
      <c r="D97" s="198"/>
      <c r="E97" s="198"/>
      <c r="F97" s="198"/>
      <c r="G97" s="199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9"/>
      <c r="AA97" s="198"/>
      <c r="AB97" s="198"/>
      <c r="AC97" s="198"/>
      <c r="AD97" s="198"/>
      <c r="AE97" s="198"/>
      <c r="AF97" s="198"/>
      <c r="AG97" s="198"/>
      <c r="AH97" s="198"/>
    </row>
    <row r="98" ht="15.75" customHeight="1">
      <c r="A98" s="198"/>
      <c r="B98" s="198"/>
      <c r="C98" s="198"/>
      <c r="D98" s="198"/>
      <c r="E98" s="198"/>
      <c r="F98" s="198"/>
      <c r="G98" s="199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9"/>
      <c r="AA98" s="198"/>
      <c r="AB98" s="198"/>
      <c r="AC98" s="198"/>
      <c r="AD98" s="198"/>
      <c r="AE98" s="198"/>
      <c r="AF98" s="198"/>
      <c r="AG98" s="198"/>
      <c r="AH98" s="198"/>
    </row>
    <row r="99" ht="15.75" customHeight="1">
      <c r="A99" s="198"/>
      <c r="B99" s="198"/>
      <c r="C99" s="198"/>
      <c r="D99" s="198"/>
      <c r="E99" s="198"/>
      <c r="F99" s="198"/>
      <c r="G99" s="199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9"/>
      <c r="AA99" s="198"/>
      <c r="AB99" s="198"/>
      <c r="AC99" s="198"/>
      <c r="AD99" s="198"/>
      <c r="AE99" s="198"/>
      <c r="AF99" s="198"/>
      <c r="AG99" s="198"/>
      <c r="AH99" s="198"/>
    </row>
    <row r="100" ht="15.75" customHeight="1">
      <c r="A100" s="198"/>
      <c r="B100" s="198"/>
      <c r="C100" s="198"/>
      <c r="D100" s="198"/>
      <c r="E100" s="198"/>
      <c r="F100" s="198"/>
      <c r="G100" s="199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9"/>
      <c r="AA100" s="198"/>
      <c r="AB100" s="198"/>
      <c r="AC100" s="198"/>
      <c r="AD100" s="198"/>
      <c r="AE100" s="198"/>
      <c r="AF100" s="198"/>
      <c r="AG100" s="198"/>
      <c r="AH100" s="198"/>
    </row>
    <row r="101" ht="15.75" customHeight="1">
      <c r="A101" s="198"/>
      <c r="B101" s="198"/>
      <c r="C101" s="198"/>
      <c r="D101" s="198"/>
      <c r="E101" s="198"/>
      <c r="F101" s="198"/>
      <c r="G101" s="199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9"/>
      <c r="AA101" s="198"/>
      <c r="AB101" s="198"/>
      <c r="AC101" s="198"/>
      <c r="AD101" s="198"/>
      <c r="AE101" s="198"/>
      <c r="AF101" s="198"/>
      <c r="AG101" s="198"/>
      <c r="AH101" s="198"/>
    </row>
    <row r="102" ht="15.75" customHeight="1">
      <c r="A102" s="198"/>
      <c r="B102" s="198"/>
      <c r="C102" s="198"/>
      <c r="D102" s="198"/>
      <c r="E102" s="198"/>
      <c r="F102" s="198"/>
      <c r="G102" s="199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9"/>
      <c r="AA102" s="198"/>
      <c r="AB102" s="198"/>
      <c r="AC102" s="198"/>
      <c r="AD102" s="198"/>
      <c r="AE102" s="198"/>
      <c r="AF102" s="198"/>
      <c r="AG102" s="198"/>
      <c r="AH102" s="198"/>
    </row>
    <row r="103" ht="15.75" customHeight="1">
      <c r="A103" s="198"/>
      <c r="B103" s="198"/>
      <c r="C103" s="198"/>
      <c r="D103" s="198"/>
      <c r="E103" s="198"/>
      <c r="F103" s="198"/>
      <c r="G103" s="199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9"/>
      <c r="AA103" s="198"/>
      <c r="AB103" s="198"/>
      <c r="AC103" s="198"/>
      <c r="AD103" s="198"/>
      <c r="AE103" s="198"/>
      <c r="AF103" s="198"/>
      <c r="AG103" s="198"/>
      <c r="AH103" s="198"/>
    </row>
    <row r="104" ht="15.75" customHeight="1">
      <c r="A104" s="198"/>
      <c r="B104" s="198"/>
      <c r="C104" s="198"/>
      <c r="D104" s="198"/>
      <c r="E104" s="198"/>
      <c r="F104" s="198"/>
      <c r="G104" s="199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9"/>
      <c r="AA104" s="198"/>
      <c r="AB104" s="198"/>
      <c r="AC104" s="198"/>
      <c r="AD104" s="198"/>
      <c r="AE104" s="198"/>
      <c r="AF104" s="198"/>
      <c r="AG104" s="198"/>
      <c r="AH104" s="198"/>
    </row>
    <row r="105" ht="15.75" customHeight="1">
      <c r="A105" s="198"/>
      <c r="B105" s="198"/>
      <c r="C105" s="198"/>
      <c r="D105" s="198"/>
      <c r="E105" s="198"/>
      <c r="F105" s="198"/>
      <c r="G105" s="199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9"/>
      <c r="AA105" s="198"/>
      <c r="AB105" s="198"/>
      <c r="AC105" s="198"/>
      <c r="AD105" s="198"/>
      <c r="AE105" s="198"/>
      <c r="AF105" s="198"/>
      <c r="AG105" s="198"/>
      <c r="AH105" s="198"/>
    </row>
    <row r="106" ht="15.75" customHeight="1">
      <c r="A106" s="198"/>
      <c r="B106" s="198"/>
      <c r="C106" s="198"/>
      <c r="D106" s="198"/>
      <c r="E106" s="198"/>
      <c r="F106" s="198"/>
      <c r="G106" s="199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9"/>
      <c r="AA106" s="198"/>
      <c r="AB106" s="198"/>
      <c r="AC106" s="198"/>
      <c r="AD106" s="198"/>
      <c r="AE106" s="198"/>
      <c r="AF106" s="198"/>
      <c r="AG106" s="198"/>
      <c r="AH106" s="198"/>
    </row>
    <row r="107" ht="15.75" customHeight="1">
      <c r="A107" s="198"/>
      <c r="B107" s="198"/>
      <c r="C107" s="198"/>
      <c r="D107" s="198"/>
      <c r="E107" s="198"/>
      <c r="F107" s="198"/>
      <c r="G107" s="199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9"/>
      <c r="AA107" s="198"/>
      <c r="AB107" s="198"/>
      <c r="AC107" s="198"/>
      <c r="AD107" s="198"/>
      <c r="AE107" s="198"/>
      <c r="AF107" s="198"/>
      <c r="AG107" s="198"/>
      <c r="AH107" s="198"/>
    </row>
    <row r="108" ht="15.75" customHeight="1">
      <c r="A108" s="198"/>
      <c r="B108" s="198"/>
      <c r="C108" s="198"/>
      <c r="D108" s="198"/>
      <c r="E108" s="198"/>
      <c r="F108" s="198"/>
      <c r="G108" s="199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9"/>
      <c r="AA108" s="198"/>
      <c r="AB108" s="198"/>
      <c r="AC108" s="198"/>
      <c r="AD108" s="198"/>
      <c r="AE108" s="198"/>
      <c r="AF108" s="198"/>
      <c r="AG108" s="198"/>
      <c r="AH108" s="198"/>
    </row>
    <row r="109" ht="15.75" customHeight="1">
      <c r="A109" s="198"/>
      <c r="B109" s="198"/>
      <c r="C109" s="198"/>
      <c r="D109" s="198"/>
      <c r="E109" s="198"/>
      <c r="F109" s="198"/>
      <c r="G109" s="199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9"/>
      <c r="AA109" s="198"/>
      <c r="AB109" s="198"/>
      <c r="AC109" s="198"/>
      <c r="AD109" s="198"/>
      <c r="AE109" s="198"/>
      <c r="AF109" s="198"/>
      <c r="AG109" s="198"/>
      <c r="AH109" s="198"/>
    </row>
    <row r="110" ht="15.75" customHeight="1">
      <c r="A110" s="198"/>
      <c r="B110" s="198"/>
      <c r="C110" s="198"/>
      <c r="D110" s="198"/>
      <c r="E110" s="198"/>
      <c r="F110" s="198"/>
      <c r="G110" s="199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9"/>
      <c r="AA110" s="198"/>
      <c r="AB110" s="198"/>
      <c r="AC110" s="198"/>
      <c r="AD110" s="198"/>
      <c r="AE110" s="198"/>
      <c r="AF110" s="198"/>
      <c r="AG110" s="198"/>
      <c r="AH110" s="198"/>
    </row>
    <row r="111" ht="15.75" customHeight="1">
      <c r="A111" s="198"/>
      <c r="B111" s="198"/>
      <c r="C111" s="198"/>
      <c r="D111" s="198"/>
      <c r="E111" s="198"/>
      <c r="F111" s="198"/>
      <c r="G111" s="199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9"/>
      <c r="AA111" s="198"/>
      <c r="AB111" s="198"/>
      <c r="AC111" s="198"/>
      <c r="AD111" s="198"/>
      <c r="AE111" s="198"/>
      <c r="AF111" s="198"/>
      <c r="AG111" s="198"/>
      <c r="AH111" s="198"/>
    </row>
    <row r="112" ht="15.75" customHeight="1">
      <c r="A112" s="198"/>
      <c r="B112" s="198"/>
      <c r="C112" s="198"/>
      <c r="D112" s="198"/>
      <c r="E112" s="198"/>
      <c r="F112" s="198"/>
      <c r="G112" s="199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9"/>
      <c r="AA112" s="198"/>
      <c r="AB112" s="198"/>
      <c r="AC112" s="198"/>
      <c r="AD112" s="198"/>
      <c r="AE112" s="198"/>
      <c r="AF112" s="198"/>
      <c r="AG112" s="198"/>
      <c r="AH112" s="198"/>
    </row>
    <row r="113" ht="15.75" customHeight="1">
      <c r="A113" s="198"/>
      <c r="B113" s="198"/>
      <c r="C113" s="198"/>
      <c r="D113" s="198"/>
      <c r="E113" s="198"/>
      <c r="F113" s="198"/>
      <c r="G113" s="199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9"/>
      <c r="AA113" s="198"/>
      <c r="AB113" s="198"/>
      <c r="AC113" s="198"/>
      <c r="AD113" s="198"/>
      <c r="AE113" s="198"/>
      <c r="AF113" s="198"/>
      <c r="AG113" s="198"/>
      <c r="AH113" s="198"/>
    </row>
    <row r="114" ht="15.75" customHeight="1">
      <c r="A114" s="198"/>
      <c r="B114" s="198"/>
      <c r="C114" s="198"/>
      <c r="D114" s="198"/>
      <c r="E114" s="198"/>
      <c r="F114" s="198"/>
      <c r="G114" s="199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9"/>
      <c r="AA114" s="198"/>
      <c r="AB114" s="198"/>
      <c r="AC114" s="198"/>
      <c r="AD114" s="198"/>
      <c r="AE114" s="198"/>
      <c r="AF114" s="198"/>
      <c r="AG114" s="198"/>
      <c r="AH114" s="198"/>
    </row>
    <row r="115" ht="15.75" customHeight="1">
      <c r="A115" s="198"/>
      <c r="B115" s="198"/>
      <c r="C115" s="198"/>
      <c r="D115" s="198"/>
      <c r="E115" s="198"/>
      <c r="F115" s="198"/>
      <c r="G115" s="199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9"/>
      <c r="AA115" s="198"/>
      <c r="AB115" s="198"/>
      <c r="AC115" s="198"/>
      <c r="AD115" s="198"/>
      <c r="AE115" s="198"/>
      <c r="AF115" s="198"/>
      <c r="AG115" s="198"/>
      <c r="AH115" s="198"/>
    </row>
    <row r="116" ht="15.75" customHeight="1">
      <c r="A116" s="198"/>
      <c r="B116" s="198"/>
      <c r="C116" s="198"/>
      <c r="D116" s="198"/>
      <c r="E116" s="198"/>
      <c r="F116" s="198"/>
      <c r="G116" s="199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9"/>
      <c r="AA116" s="198"/>
      <c r="AB116" s="198"/>
      <c r="AC116" s="198"/>
      <c r="AD116" s="198"/>
      <c r="AE116" s="198"/>
      <c r="AF116" s="198"/>
      <c r="AG116" s="198"/>
      <c r="AH116" s="198"/>
    </row>
    <row r="117" ht="15.75" customHeight="1">
      <c r="A117" s="198"/>
      <c r="B117" s="198"/>
      <c r="C117" s="198"/>
      <c r="D117" s="198"/>
      <c r="E117" s="198"/>
      <c r="F117" s="198"/>
      <c r="G117" s="199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9"/>
      <c r="AA117" s="198"/>
      <c r="AB117" s="198"/>
      <c r="AC117" s="198"/>
      <c r="AD117" s="198"/>
      <c r="AE117" s="198"/>
      <c r="AF117" s="198"/>
      <c r="AG117" s="198"/>
      <c r="AH117" s="198"/>
    </row>
    <row r="118" ht="15.75" customHeight="1">
      <c r="A118" s="198"/>
      <c r="B118" s="198"/>
      <c r="C118" s="198"/>
      <c r="D118" s="198"/>
      <c r="E118" s="198"/>
      <c r="F118" s="198"/>
      <c r="G118" s="199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9"/>
      <c r="AA118" s="198"/>
      <c r="AB118" s="198"/>
      <c r="AC118" s="198"/>
      <c r="AD118" s="198"/>
      <c r="AE118" s="198"/>
      <c r="AF118" s="198"/>
      <c r="AG118" s="198"/>
      <c r="AH118" s="198"/>
    </row>
    <row r="119" ht="15.75" customHeight="1">
      <c r="A119" s="198"/>
      <c r="B119" s="198"/>
      <c r="C119" s="198"/>
      <c r="D119" s="198"/>
      <c r="E119" s="198"/>
      <c r="F119" s="198"/>
      <c r="G119" s="199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9"/>
      <c r="AA119" s="198"/>
      <c r="AB119" s="198"/>
      <c r="AC119" s="198"/>
      <c r="AD119" s="198"/>
      <c r="AE119" s="198"/>
      <c r="AF119" s="198"/>
      <c r="AG119" s="198"/>
      <c r="AH119" s="198"/>
    </row>
    <row r="120" ht="15.75" customHeight="1">
      <c r="A120" s="198"/>
      <c r="B120" s="198"/>
      <c r="C120" s="198"/>
      <c r="D120" s="198"/>
      <c r="E120" s="198"/>
      <c r="F120" s="198"/>
      <c r="G120" s="199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9"/>
      <c r="AA120" s="198"/>
      <c r="AB120" s="198"/>
      <c r="AC120" s="198"/>
      <c r="AD120" s="198"/>
      <c r="AE120" s="198"/>
      <c r="AF120" s="198"/>
      <c r="AG120" s="198"/>
      <c r="AH120" s="198"/>
    </row>
    <row r="121" ht="15.75" customHeight="1">
      <c r="A121" s="198"/>
      <c r="B121" s="198"/>
      <c r="C121" s="198"/>
      <c r="D121" s="198"/>
      <c r="E121" s="198"/>
      <c r="F121" s="198"/>
      <c r="G121" s="199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9"/>
      <c r="AA121" s="198"/>
      <c r="AB121" s="198"/>
      <c r="AC121" s="198"/>
      <c r="AD121" s="198"/>
      <c r="AE121" s="198"/>
      <c r="AF121" s="198"/>
      <c r="AG121" s="198"/>
      <c r="AH121" s="198"/>
    </row>
    <row r="122" ht="15.75" customHeight="1">
      <c r="A122" s="198"/>
      <c r="B122" s="198"/>
      <c r="C122" s="198"/>
      <c r="D122" s="198"/>
      <c r="E122" s="198"/>
      <c r="F122" s="198"/>
      <c r="G122" s="199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9"/>
      <c r="AA122" s="198"/>
      <c r="AB122" s="198"/>
      <c r="AC122" s="198"/>
      <c r="AD122" s="198"/>
      <c r="AE122" s="198"/>
      <c r="AF122" s="198"/>
      <c r="AG122" s="198"/>
      <c r="AH122" s="198"/>
    </row>
    <row r="123" ht="15.75" customHeight="1">
      <c r="A123" s="198"/>
      <c r="B123" s="198"/>
      <c r="C123" s="198"/>
      <c r="D123" s="198"/>
      <c r="E123" s="198"/>
      <c r="F123" s="198"/>
      <c r="G123" s="199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9"/>
      <c r="AA123" s="198"/>
      <c r="AB123" s="198"/>
      <c r="AC123" s="198"/>
      <c r="AD123" s="198"/>
      <c r="AE123" s="198"/>
      <c r="AF123" s="198"/>
      <c r="AG123" s="198"/>
      <c r="AH123" s="198"/>
    </row>
    <row r="124" ht="15.75" customHeight="1">
      <c r="A124" s="198"/>
      <c r="B124" s="198"/>
      <c r="C124" s="198"/>
      <c r="D124" s="198"/>
      <c r="E124" s="198"/>
      <c r="F124" s="198"/>
      <c r="G124" s="199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9"/>
      <c r="AA124" s="198"/>
      <c r="AB124" s="198"/>
      <c r="AC124" s="198"/>
      <c r="AD124" s="198"/>
      <c r="AE124" s="198"/>
      <c r="AF124" s="198"/>
      <c r="AG124" s="198"/>
      <c r="AH124" s="198"/>
    </row>
    <row r="125" ht="15.75" customHeight="1">
      <c r="A125" s="198"/>
      <c r="B125" s="198"/>
      <c r="C125" s="198"/>
      <c r="D125" s="198"/>
      <c r="E125" s="198"/>
      <c r="F125" s="198"/>
      <c r="G125" s="199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9"/>
      <c r="AA125" s="198"/>
      <c r="AB125" s="198"/>
      <c r="AC125" s="198"/>
      <c r="AD125" s="198"/>
      <c r="AE125" s="198"/>
      <c r="AF125" s="198"/>
      <c r="AG125" s="198"/>
      <c r="AH125" s="198"/>
    </row>
    <row r="126" ht="15.75" customHeight="1">
      <c r="A126" s="198"/>
      <c r="B126" s="198"/>
      <c r="C126" s="198"/>
      <c r="D126" s="198"/>
      <c r="E126" s="198"/>
      <c r="F126" s="198"/>
      <c r="G126" s="199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9"/>
      <c r="AA126" s="198"/>
      <c r="AB126" s="198"/>
      <c r="AC126" s="198"/>
      <c r="AD126" s="198"/>
      <c r="AE126" s="198"/>
      <c r="AF126" s="198"/>
      <c r="AG126" s="198"/>
      <c r="AH126" s="198"/>
    </row>
    <row r="127" ht="15.75" customHeight="1">
      <c r="A127" s="198"/>
      <c r="B127" s="198"/>
      <c r="C127" s="198"/>
      <c r="D127" s="198"/>
      <c r="E127" s="198"/>
      <c r="F127" s="198"/>
      <c r="G127" s="199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9"/>
      <c r="AA127" s="198"/>
      <c r="AB127" s="198"/>
      <c r="AC127" s="198"/>
      <c r="AD127" s="198"/>
      <c r="AE127" s="198"/>
      <c r="AF127" s="198"/>
      <c r="AG127" s="198"/>
      <c r="AH127" s="198"/>
    </row>
    <row r="128" ht="15.75" customHeight="1">
      <c r="A128" s="198"/>
      <c r="B128" s="198"/>
      <c r="C128" s="198"/>
      <c r="D128" s="198"/>
      <c r="E128" s="198"/>
      <c r="F128" s="198"/>
      <c r="G128" s="199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9"/>
      <c r="AA128" s="198"/>
      <c r="AB128" s="198"/>
      <c r="AC128" s="198"/>
      <c r="AD128" s="198"/>
      <c r="AE128" s="198"/>
      <c r="AF128" s="198"/>
      <c r="AG128" s="198"/>
      <c r="AH128" s="198"/>
    </row>
    <row r="129" ht="15.75" customHeight="1">
      <c r="A129" s="198"/>
      <c r="B129" s="198"/>
      <c r="C129" s="198"/>
      <c r="D129" s="198"/>
      <c r="E129" s="198"/>
      <c r="F129" s="198"/>
      <c r="G129" s="199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9"/>
      <c r="AA129" s="198"/>
      <c r="AB129" s="198"/>
      <c r="AC129" s="198"/>
      <c r="AD129" s="198"/>
      <c r="AE129" s="198"/>
      <c r="AF129" s="198"/>
      <c r="AG129" s="198"/>
      <c r="AH129" s="198"/>
    </row>
    <row r="130" ht="15.75" customHeight="1">
      <c r="A130" s="198"/>
      <c r="B130" s="198"/>
      <c r="C130" s="198"/>
      <c r="D130" s="198"/>
      <c r="E130" s="198"/>
      <c r="F130" s="198"/>
      <c r="G130" s="199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9"/>
      <c r="AA130" s="198"/>
      <c r="AB130" s="198"/>
      <c r="AC130" s="198"/>
      <c r="AD130" s="198"/>
      <c r="AE130" s="198"/>
      <c r="AF130" s="198"/>
      <c r="AG130" s="198"/>
      <c r="AH130" s="198"/>
    </row>
    <row r="131" ht="15.75" customHeight="1">
      <c r="A131" s="198"/>
      <c r="B131" s="198"/>
      <c r="C131" s="198"/>
      <c r="D131" s="198"/>
      <c r="E131" s="198"/>
      <c r="F131" s="198"/>
      <c r="G131" s="199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9"/>
      <c r="AA131" s="198"/>
      <c r="AB131" s="198"/>
      <c r="AC131" s="198"/>
      <c r="AD131" s="198"/>
      <c r="AE131" s="198"/>
      <c r="AF131" s="198"/>
      <c r="AG131" s="198"/>
      <c r="AH131" s="198"/>
    </row>
    <row r="132" ht="15.75" customHeight="1">
      <c r="A132" s="198"/>
      <c r="B132" s="198"/>
      <c r="C132" s="198"/>
      <c r="D132" s="198"/>
      <c r="E132" s="198"/>
      <c r="F132" s="198"/>
      <c r="G132" s="199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9"/>
      <c r="AA132" s="198"/>
      <c r="AB132" s="198"/>
      <c r="AC132" s="198"/>
      <c r="AD132" s="198"/>
      <c r="AE132" s="198"/>
      <c r="AF132" s="198"/>
      <c r="AG132" s="198"/>
      <c r="AH132" s="198"/>
    </row>
    <row r="133" ht="15.75" customHeight="1">
      <c r="A133" s="198"/>
      <c r="B133" s="198"/>
      <c r="C133" s="198"/>
      <c r="D133" s="198"/>
      <c r="E133" s="198"/>
      <c r="F133" s="198"/>
      <c r="G133" s="199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9"/>
      <c r="AA133" s="198"/>
      <c r="AB133" s="198"/>
      <c r="AC133" s="198"/>
      <c r="AD133" s="198"/>
      <c r="AE133" s="198"/>
      <c r="AF133" s="198"/>
      <c r="AG133" s="198"/>
      <c r="AH133" s="198"/>
    </row>
    <row r="134" ht="15.75" customHeight="1">
      <c r="A134" s="198"/>
      <c r="B134" s="198"/>
      <c r="C134" s="198"/>
      <c r="D134" s="198"/>
      <c r="E134" s="198"/>
      <c r="F134" s="198"/>
      <c r="G134" s="199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9"/>
      <c r="AA134" s="198"/>
      <c r="AB134" s="198"/>
      <c r="AC134" s="198"/>
      <c r="AD134" s="198"/>
      <c r="AE134" s="198"/>
      <c r="AF134" s="198"/>
      <c r="AG134" s="198"/>
      <c r="AH134" s="198"/>
    </row>
    <row r="135" ht="15.75" customHeight="1">
      <c r="A135" s="198"/>
      <c r="B135" s="198"/>
      <c r="C135" s="198"/>
      <c r="D135" s="198"/>
      <c r="E135" s="198"/>
      <c r="F135" s="198"/>
      <c r="G135" s="199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9"/>
      <c r="AA135" s="198"/>
      <c r="AB135" s="198"/>
      <c r="AC135" s="198"/>
      <c r="AD135" s="198"/>
      <c r="AE135" s="198"/>
      <c r="AF135" s="198"/>
      <c r="AG135" s="198"/>
      <c r="AH135" s="198"/>
    </row>
    <row r="136" ht="15.75" customHeight="1">
      <c r="A136" s="198"/>
      <c r="B136" s="198"/>
      <c r="C136" s="198"/>
      <c r="D136" s="198"/>
      <c r="E136" s="198"/>
      <c r="F136" s="198"/>
      <c r="G136" s="199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9"/>
      <c r="AA136" s="198"/>
      <c r="AB136" s="198"/>
      <c r="AC136" s="198"/>
      <c r="AD136" s="198"/>
      <c r="AE136" s="198"/>
      <c r="AF136" s="198"/>
      <c r="AG136" s="198"/>
      <c r="AH136" s="198"/>
    </row>
    <row r="137" ht="15.75" customHeight="1">
      <c r="A137" s="198"/>
      <c r="B137" s="198"/>
      <c r="C137" s="198"/>
      <c r="D137" s="198"/>
      <c r="E137" s="198"/>
      <c r="F137" s="198"/>
      <c r="G137" s="199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9"/>
      <c r="AA137" s="198"/>
      <c r="AB137" s="198"/>
      <c r="AC137" s="198"/>
      <c r="AD137" s="198"/>
      <c r="AE137" s="198"/>
      <c r="AF137" s="198"/>
      <c r="AG137" s="198"/>
      <c r="AH137" s="198"/>
    </row>
    <row r="138" ht="15.75" customHeight="1">
      <c r="A138" s="198"/>
      <c r="B138" s="198"/>
      <c r="C138" s="198"/>
      <c r="D138" s="198"/>
      <c r="E138" s="198"/>
      <c r="F138" s="198"/>
      <c r="G138" s="199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9"/>
      <c r="AA138" s="198"/>
      <c r="AB138" s="198"/>
      <c r="AC138" s="198"/>
      <c r="AD138" s="198"/>
      <c r="AE138" s="198"/>
      <c r="AF138" s="198"/>
      <c r="AG138" s="198"/>
      <c r="AH138" s="198"/>
    </row>
    <row r="139" ht="15.75" customHeight="1">
      <c r="A139" s="198"/>
      <c r="B139" s="198"/>
      <c r="C139" s="198"/>
      <c r="D139" s="198"/>
      <c r="E139" s="198"/>
      <c r="F139" s="198"/>
      <c r="G139" s="199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9"/>
      <c r="AA139" s="198"/>
      <c r="AB139" s="198"/>
      <c r="AC139" s="198"/>
      <c r="AD139" s="198"/>
      <c r="AE139" s="198"/>
      <c r="AF139" s="198"/>
      <c r="AG139" s="198"/>
      <c r="AH139" s="198"/>
    </row>
    <row r="140" ht="15.75" customHeight="1">
      <c r="A140" s="198"/>
      <c r="B140" s="198"/>
      <c r="C140" s="198"/>
      <c r="D140" s="198"/>
      <c r="E140" s="198"/>
      <c r="F140" s="198"/>
      <c r="G140" s="199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9"/>
      <c r="AA140" s="198"/>
      <c r="AB140" s="198"/>
      <c r="AC140" s="198"/>
      <c r="AD140" s="198"/>
      <c r="AE140" s="198"/>
      <c r="AF140" s="198"/>
      <c r="AG140" s="198"/>
      <c r="AH140" s="198"/>
    </row>
    <row r="141" ht="15.75" customHeight="1">
      <c r="A141" s="198"/>
      <c r="B141" s="198"/>
      <c r="C141" s="198"/>
      <c r="D141" s="198"/>
      <c r="E141" s="198"/>
      <c r="F141" s="198"/>
      <c r="G141" s="199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9"/>
      <c r="AA141" s="198"/>
      <c r="AB141" s="198"/>
      <c r="AC141" s="198"/>
      <c r="AD141" s="198"/>
      <c r="AE141" s="198"/>
      <c r="AF141" s="198"/>
      <c r="AG141" s="198"/>
      <c r="AH141" s="198"/>
    </row>
    <row r="142" ht="15.75" customHeight="1">
      <c r="A142" s="198"/>
      <c r="B142" s="198"/>
      <c r="C142" s="198"/>
      <c r="D142" s="198"/>
      <c r="E142" s="198"/>
      <c r="F142" s="198"/>
      <c r="G142" s="199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9"/>
      <c r="AA142" s="198"/>
      <c r="AB142" s="198"/>
      <c r="AC142" s="198"/>
      <c r="AD142" s="198"/>
      <c r="AE142" s="198"/>
      <c r="AF142" s="198"/>
      <c r="AG142" s="198"/>
      <c r="AH142" s="198"/>
    </row>
    <row r="143" ht="15.75" customHeight="1">
      <c r="A143" s="198"/>
      <c r="B143" s="198"/>
      <c r="C143" s="198"/>
      <c r="D143" s="198"/>
      <c r="E143" s="198"/>
      <c r="F143" s="198"/>
      <c r="G143" s="199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9"/>
      <c r="AA143" s="198"/>
      <c r="AB143" s="198"/>
      <c r="AC143" s="198"/>
      <c r="AD143" s="198"/>
      <c r="AE143" s="198"/>
      <c r="AF143" s="198"/>
      <c r="AG143" s="198"/>
      <c r="AH143" s="198"/>
    </row>
    <row r="144" ht="15.75" customHeight="1">
      <c r="A144" s="198"/>
      <c r="B144" s="198"/>
      <c r="C144" s="198"/>
      <c r="D144" s="198"/>
      <c r="E144" s="198"/>
      <c r="F144" s="198"/>
      <c r="G144" s="199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9"/>
      <c r="AA144" s="198"/>
      <c r="AB144" s="198"/>
      <c r="AC144" s="198"/>
      <c r="AD144" s="198"/>
      <c r="AE144" s="198"/>
      <c r="AF144" s="198"/>
      <c r="AG144" s="198"/>
      <c r="AH144" s="198"/>
    </row>
    <row r="145" ht="15.75" customHeight="1">
      <c r="A145" s="198"/>
      <c r="B145" s="198"/>
      <c r="C145" s="198"/>
      <c r="D145" s="198"/>
      <c r="E145" s="198"/>
      <c r="F145" s="198"/>
      <c r="G145" s="199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9"/>
      <c r="AA145" s="198"/>
      <c r="AB145" s="198"/>
      <c r="AC145" s="198"/>
      <c r="AD145" s="198"/>
      <c r="AE145" s="198"/>
      <c r="AF145" s="198"/>
      <c r="AG145" s="198"/>
      <c r="AH145" s="198"/>
    </row>
    <row r="146" ht="15.75" customHeight="1">
      <c r="A146" s="198"/>
      <c r="B146" s="198"/>
      <c r="C146" s="198"/>
      <c r="D146" s="198"/>
      <c r="E146" s="198"/>
      <c r="F146" s="198"/>
      <c r="G146" s="199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9"/>
      <c r="AA146" s="198"/>
      <c r="AB146" s="198"/>
      <c r="AC146" s="198"/>
      <c r="AD146" s="198"/>
      <c r="AE146" s="198"/>
      <c r="AF146" s="198"/>
      <c r="AG146" s="198"/>
      <c r="AH146" s="198"/>
    </row>
    <row r="147" ht="15.75" customHeight="1">
      <c r="A147" s="198"/>
      <c r="B147" s="198"/>
      <c r="C147" s="198"/>
      <c r="D147" s="198"/>
      <c r="E147" s="198"/>
      <c r="F147" s="198"/>
      <c r="G147" s="199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9"/>
      <c r="AA147" s="198"/>
      <c r="AB147" s="198"/>
      <c r="AC147" s="198"/>
      <c r="AD147" s="198"/>
      <c r="AE147" s="198"/>
      <c r="AF147" s="198"/>
      <c r="AG147" s="198"/>
      <c r="AH147" s="198"/>
    </row>
    <row r="148" ht="15.75" customHeight="1">
      <c r="A148" s="198"/>
      <c r="B148" s="198"/>
      <c r="C148" s="198"/>
      <c r="D148" s="198"/>
      <c r="E148" s="198"/>
      <c r="F148" s="198"/>
      <c r="G148" s="199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9"/>
      <c r="AA148" s="198"/>
      <c r="AB148" s="198"/>
      <c r="AC148" s="198"/>
      <c r="AD148" s="198"/>
      <c r="AE148" s="198"/>
      <c r="AF148" s="198"/>
      <c r="AG148" s="198"/>
      <c r="AH148" s="198"/>
    </row>
    <row r="149" ht="15.75" customHeight="1">
      <c r="A149" s="198"/>
      <c r="B149" s="198"/>
      <c r="C149" s="198"/>
      <c r="D149" s="198"/>
      <c r="E149" s="198"/>
      <c r="F149" s="198"/>
      <c r="G149" s="199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9"/>
      <c r="AA149" s="198"/>
      <c r="AB149" s="198"/>
      <c r="AC149" s="198"/>
      <c r="AD149" s="198"/>
      <c r="AE149" s="198"/>
      <c r="AF149" s="198"/>
      <c r="AG149" s="198"/>
      <c r="AH149" s="198"/>
    </row>
    <row r="150" ht="15.75" customHeight="1">
      <c r="A150" s="198"/>
      <c r="B150" s="198"/>
      <c r="C150" s="198"/>
      <c r="D150" s="198"/>
      <c r="E150" s="198"/>
      <c r="F150" s="198"/>
      <c r="G150" s="199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9"/>
      <c r="AA150" s="198"/>
      <c r="AB150" s="198"/>
      <c r="AC150" s="198"/>
      <c r="AD150" s="198"/>
      <c r="AE150" s="198"/>
      <c r="AF150" s="198"/>
      <c r="AG150" s="198"/>
      <c r="AH150" s="198"/>
    </row>
    <row r="151" ht="15.75" customHeight="1">
      <c r="A151" s="198"/>
      <c r="B151" s="198"/>
      <c r="C151" s="198"/>
      <c r="D151" s="198"/>
      <c r="E151" s="198"/>
      <c r="F151" s="198"/>
      <c r="G151" s="199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9"/>
      <c r="AA151" s="198"/>
      <c r="AB151" s="198"/>
      <c r="AC151" s="198"/>
      <c r="AD151" s="198"/>
      <c r="AE151" s="198"/>
      <c r="AF151" s="198"/>
      <c r="AG151" s="198"/>
      <c r="AH151" s="198"/>
    </row>
    <row r="152" ht="15.75" customHeight="1">
      <c r="A152" s="198"/>
      <c r="B152" s="198"/>
      <c r="C152" s="198"/>
      <c r="D152" s="198"/>
      <c r="E152" s="198"/>
      <c r="F152" s="198"/>
      <c r="G152" s="199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9"/>
      <c r="AA152" s="198"/>
      <c r="AB152" s="198"/>
      <c r="AC152" s="198"/>
      <c r="AD152" s="198"/>
      <c r="AE152" s="198"/>
      <c r="AF152" s="198"/>
      <c r="AG152" s="198"/>
      <c r="AH152" s="198"/>
    </row>
    <row r="153" ht="15.75" customHeight="1">
      <c r="A153" s="198"/>
      <c r="B153" s="198"/>
      <c r="C153" s="198"/>
      <c r="D153" s="198"/>
      <c r="E153" s="198"/>
      <c r="F153" s="198"/>
      <c r="G153" s="199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9"/>
      <c r="AA153" s="198"/>
      <c r="AB153" s="198"/>
      <c r="AC153" s="198"/>
      <c r="AD153" s="198"/>
      <c r="AE153" s="198"/>
      <c r="AF153" s="198"/>
      <c r="AG153" s="198"/>
      <c r="AH153" s="198"/>
    </row>
    <row r="154" ht="15.75" customHeight="1">
      <c r="A154" s="198"/>
      <c r="B154" s="198"/>
      <c r="C154" s="198"/>
      <c r="D154" s="198"/>
      <c r="E154" s="198"/>
      <c r="F154" s="198"/>
      <c r="G154" s="199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9"/>
      <c r="AA154" s="198"/>
      <c r="AB154" s="198"/>
      <c r="AC154" s="198"/>
      <c r="AD154" s="198"/>
      <c r="AE154" s="198"/>
      <c r="AF154" s="198"/>
      <c r="AG154" s="198"/>
      <c r="AH154" s="198"/>
    </row>
    <row r="155" ht="15.75" customHeight="1">
      <c r="A155" s="198"/>
      <c r="B155" s="198"/>
      <c r="C155" s="198"/>
      <c r="D155" s="198"/>
      <c r="E155" s="198"/>
      <c r="F155" s="198"/>
      <c r="G155" s="199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9"/>
      <c r="AA155" s="198"/>
      <c r="AB155" s="198"/>
      <c r="AC155" s="198"/>
      <c r="AD155" s="198"/>
      <c r="AE155" s="198"/>
      <c r="AF155" s="198"/>
      <c r="AG155" s="198"/>
      <c r="AH155" s="198"/>
    </row>
    <row r="156" ht="15.75" customHeight="1">
      <c r="A156" s="198"/>
      <c r="B156" s="198"/>
      <c r="C156" s="198"/>
      <c r="D156" s="198"/>
      <c r="E156" s="198"/>
      <c r="F156" s="198"/>
      <c r="G156" s="199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9"/>
      <c r="AA156" s="198"/>
      <c r="AB156" s="198"/>
      <c r="AC156" s="198"/>
      <c r="AD156" s="198"/>
      <c r="AE156" s="198"/>
      <c r="AF156" s="198"/>
      <c r="AG156" s="198"/>
      <c r="AH156" s="198"/>
    </row>
    <row r="157" ht="15.75" customHeight="1">
      <c r="A157" s="198"/>
      <c r="B157" s="198"/>
      <c r="C157" s="198"/>
      <c r="D157" s="198"/>
      <c r="E157" s="198"/>
      <c r="F157" s="198"/>
      <c r="G157" s="199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9"/>
      <c r="AA157" s="198"/>
      <c r="AB157" s="198"/>
      <c r="AC157" s="198"/>
      <c r="AD157" s="198"/>
      <c r="AE157" s="198"/>
      <c r="AF157" s="198"/>
      <c r="AG157" s="198"/>
      <c r="AH157" s="198"/>
    </row>
    <row r="158" ht="15.75" customHeight="1">
      <c r="A158" s="198"/>
      <c r="B158" s="198"/>
      <c r="C158" s="198"/>
      <c r="D158" s="198"/>
      <c r="E158" s="198"/>
      <c r="F158" s="198"/>
      <c r="G158" s="199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9"/>
      <c r="AA158" s="198"/>
      <c r="AB158" s="198"/>
      <c r="AC158" s="198"/>
      <c r="AD158" s="198"/>
      <c r="AE158" s="198"/>
      <c r="AF158" s="198"/>
      <c r="AG158" s="198"/>
      <c r="AH158" s="198"/>
    </row>
    <row r="159" ht="15.75" customHeight="1">
      <c r="A159" s="198"/>
      <c r="B159" s="198"/>
      <c r="C159" s="198"/>
      <c r="D159" s="198"/>
      <c r="E159" s="198"/>
      <c r="F159" s="198"/>
      <c r="G159" s="199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9"/>
      <c r="AA159" s="198"/>
      <c r="AB159" s="198"/>
      <c r="AC159" s="198"/>
      <c r="AD159" s="198"/>
      <c r="AE159" s="198"/>
      <c r="AF159" s="198"/>
      <c r="AG159" s="198"/>
      <c r="AH159" s="198"/>
    </row>
    <row r="160" ht="15.75" customHeight="1">
      <c r="A160" s="198"/>
      <c r="B160" s="198"/>
      <c r="C160" s="198"/>
      <c r="D160" s="198"/>
      <c r="E160" s="198"/>
      <c r="F160" s="198"/>
      <c r="G160" s="199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9"/>
      <c r="AA160" s="198"/>
      <c r="AB160" s="198"/>
      <c r="AC160" s="198"/>
      <c r="AD160" s="198"/>
      <c r="AE160" s="198"/>
      <c r="AF160" s="198"/>
      <c r="AG160" s="198"/>
      <c r="AH160" s="198"/>
    </row>
    <row r="161" ht="15.75" customHeight="1">
      <c r="A161" s="198"/>
      <c r="B161" s="198"/>
      <c r="C161" s="198"/>
      <c r="D161" s="198"/>
      <c r="E161" s="198"/>
      <c r="F161" s="198"/>
      <c r="G161" s="199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9"/>
      <c r="AA161" s="198"/>
      <c r="AB161" s="198"/>
      <c r="AC161" s="198"/>
      <c r="AD161" s="198"/>
      <c r="AE161" s="198"/>
      <c r="AF161" s="198"/>
      <c r="AG161" s="198"/>
      <c r="AH161" s="198"/>
    </row>
    <row r="162" ht="15.75" customHeight="1">
      <c r="A162" s="198"/>
      <c r="B162" s="198"/>
      <c r="C162" s="198"/>
      <c r="D162" s="198"/>
      <c r="E162" s="198"/>
      <c r="F162" s="198"/>
      <c r="G162" s="199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9"/>
      <c r="AA162" s="198"/>
      <c r="AB162" s="198"/>
      <c r="AC162" s="198"/>
      <c r="AD162" s="198"/>
      <c r="AE162" s="198"/>
      <c r="AF162" s="198"/>
      <c r="AG162" s="198"/>
      <c r="AH162" s="198"/>
    </row>
    <row r="163" ht="15.75" customHeight="1">
      <c r="A163" s="198"/>
      <c r="B163" s="198"/>
      <c r="C163" s="198"/>
      <c r="D163" s="198"/>
      <c r="E163" s="198"/>
      <c r="F163" s="198"/>
      <c r="G163" s="199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9"/>
      <c r="AA163" s="198"/>
      <c r="AB163" s="198"/>
      <c r="AC163" s="198"/>
      <c r="AD163" s="198"/>
      <c r="AE163" s="198"/>
      <c r="AF163" s="198"/>
      <c r="AG163" s="198"/>
      <c r="AH163" s="198"/>
    </row>
    <row r="164" ht="15.75" customHeight="1">
      <c r="A164" s="198"/>
      <c r="B164" s="198"/>
      <c r="C164" s="198"/>
      <c r="D164" s="198"/>
      <c r="E164" s="198"/>
      <c r="F164" s="198"/>
      <c r="G164" s="199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9"/>
      <c r="AA164" s="198"/>
      <c r="AB164" s="198"/>
      <c r="AC164" s="198"/>
      <c r="AD164" s="198"/>
      <c r="AE164" s="198"/>
      <c r="AF164" s="198"/>
      <c r="AG164" s="198"/>
      <c r="AH164" s="198"/>
    </row>
    <row r="165" ht="15.75" customHeight="1">
      <c r="A165" s="198"/>
      <c r="B165" s="198"/>
      <c r="C165" s="198"/>
      <c r="D165" s="198"/>
      <c r="E165" s="198"/>
      <c r="F165" s="198"/>
      <c r="G165" s="199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9"/>
      <c r="AA165" s="198"/>
      <c r="AB165" s="198"/>
      <c r="AC165" s="198"/>
      <c r="AD165" s="198"/>
      <c r="AE165" s="198"/>
      <c r="AF165" s="198"/>
      <c r="AG165" s="198"/>
      <c r="AH165" s="198"/>
    </row>
    <row r="166" ht="15.75" customHeight="1">
      <c r="A166" s="198"/>
      <c r="B166" s="198"/>
      <c r="C166" s="198"/>
      <c r="D166" s="198"/>
      <c r="E166" s="198"/>
      <c r="F166" s="198"/>
      <c r="G166" s="199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9"/>
      <c r="AA166" s="198"/>
      <c r="AB166" s="198"/>
      <c r="AC166" s="198"/>
      <c r="AD166" s="198"/>
      <c r="AE166" s="198"/>
      <c r="AF166" s="198"/>
      <c r="AG166" s="198"/>
      <c r="AH166" s="198"/>
    </row>
    <row r="167" ht="15.75" customHeight="1">
      <c r="A167" s="198"/>
      <c r="B167" s="198"/>
      <c r="C167" s="198"/>
      <c r="D167" s="198"/>
      <c r="E167" s="198"/>
      <c r="F167" s="198"/>
      <c r="G167" s="199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9"/>
      <c r="AA167" s="198"/>
      <c r="AB167" s="198"/>
      <c r="AC167" s="198"/>
      <c r="AD167" s="198"/>
      <c r="AE167" s="198"/>
      <c r="AF167" s="198"/>
      <c r="AG167" s="198"/>
      <c r="AH167" s="198"/>
    </row>
    <row r="168" ht="15.75" customHeight="1">
      <c r="A168" s="198"/>
      <c r="B168" s="198"/>
      <c r="C168" s="198"/>
      <c r="D168" s="198"/>
      <c r="E168" s="198"/>
      <c r="F168" s="198"/>
      <c r="G168" s="199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9"/>
      <c r="AA168" s="198"/>
      <c r="AB168" s="198"/>
      <c r="AC168" s="198"/>
      <c r="AD168" s="198"/>
      <c r="AE168" s="198"/>
      <c r="AF168" s="198"/>
      <c r="AG168" s="198"/>
      <c r="AH168" s="198"/>
    </row>
    <row r="169" ht="15.75" customHeight="1">
      <c r="A169" s="198"/>
      <c r="B169" s="198"/>
      <c r="C169" s="198"/>
      <c r="D169" s="198"/>
      <c r="E169" s="198"/>
      <c r="F169" s="198"/>
      <c r="G169" s="199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9"/>
      <c r="AA169" s="198"/>
      <c r="AB169" s="198"/>
      <c r="AC169" s="198"/>
      <c r="AD169" s="198"/>
      <c r="AE169" s="198"/>
      <c r="AF169" s="198"/>
      <c r="AG169" s="198"/>
      <c r="AH169" s="198"/>
    </row>
    <row r="170" ht="15.75" customHeight="1">
      <c r="A170" s="198"/>
      <c r="B170" s="198"/>
      <c r="C170" s="198"/>
      <c r="D170" s="198"/>
      <c r="E170" s="198"/>
      <c r="F170" s="198"/>
      <c r="G170" s="199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9"/>
      <c r="AA170" s="198"/>
      <c r="AB170" s="198"/>
      <c r="AC170" s="198"/>
      <c r="AD170" s="198"/>
      <c r="AE170" s="198"/>
      <c r="AF170" s="198"/>
      <c r="AG170" s="198"/>
      <c r="AH170" s="198"/>
    </row>
    <row r="171" ht="15.75" customHeight="1">
      <c r="A171" s="198"/>
      <c r="B171" s="198"/>
      <c r="C171" s="198"/>
      <c r="D171" s="198"/>
      <c r="E171" s="198"/>
      <c r="F171" s="198"/>
      <c r="G171" s="199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9"/>
      <c r="AA171" s="198"/>
      <c r="AB171" s="198"/>
      <c r="AC171" s="198"/>
      <c r="AD171" s="198"/>
      <c r="AE171" s="198"/>
      <c r="AF171" s="198"/>
      <c r="AG171" s="198"/>
      <c r="AH171" s="198"/>
    </row>
    <row r="172" ht="15.75" customHeight="1">
      <c r="A172" s="198"/>
      <c r="B172" s="198"/>
      <c r="C172" s="198"/>
      <c r="D172" s="198"/>
      <c r="E172" s="198"/>
      <c r="F172" s="198"/>
      <c r="G172" s="199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9"/>
      <c r="AA172" s="198"/>
      <c r="AB172" s="198"/>
      <c r="AC172" s="198"/>
      <c r="AD172" s="198"/>
      <c r="AE172" s="198"/>
      <c r="AF172" s="198"/>
      <c r="AG172" s="198"/>
      <c r="AH172" s="198"/>
    </row>
    <row r="173" ht="15.75" customHeight="1">
      <c r="A173" s="198"/>
      <c r="B173" s="198"/>
      <c r="C173" s="198"/>
      <c r="D173" s="198"/>
      <c r="E173" s="198"/>
      <c r="F173" s="198"/>
      <c r="G173" s="199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9"/>
      <c r="AA173" s="198"/>
      <c r="AB173" s="198"/>
      <c r="AC173" s="198"/>
      <c r="AD173" s="198"/>
      <c r="AE173" s="198"/>
      <c r="AF173" s="198"/>
      <c r="AG173" s="198"/>
      <c r="AH173" s="198"/>
    </row>
    <row r="174" ht="15.75" customHeight="1">
      <c r="A174" s="198"/>
      <c r="B174" s="198"/>
      <c r="C174" s="198"/>
      <c r="D174" s="198"/>
      <c r="E174" s="198"/>
      <c r="F174" s="198"/>
      <c r="G174" s="199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9"/>
      <c r="AA174" s="198"/>
      <c r="AB174" s="198"/>
      <c r="AC174" s="198"/>
      <c r="AD174" s="198"/>
      <c r="AE174" s="198"/>
      <c r="AF174" s="198"/>
      <c r="AG174" s="198"/>
      <c r="AH174" s="198"/>
    </row>
    <row r="175" ht="15.75" customHeight="1">
      <c r="A175" s="198"/>
      <c r="B175" s="198"/>
      <c r="C175" s="198"/>
      <c r="D175" s="198"/>
      <c r="E175" s="198"/>
      <c r="F175" s="198"/>
      <c r="G175" s="199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9"/>
      <c r="AA175" s="198"/>
      <c r="AB175" s="198"/>
      <c r="AC175" s="198"/>
      <c r="AD175" s="198"/>
      <c r="AE175" s="198"/>
      <c r="AF175" s="198"/>
      <c r="AG175" s="198"/>
      <c r="AH175" s="198"/>
    </row>
    <row r="176" ht="15.75" customHeight="1">
      <c r="A176" s="198"/>
      <c r="B176" s="198"/>
      <c r="C176" s="198"/>
      <c r="D176" s="198"/>
      <c r="E176" s="198"/>
      <c r="F176" s="198"/>
      <c r="G176" s="199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9"/>
      <c r="AA176" s="198"/>
      <c r="AB176" s="198"/>
      <c r="AC176" s="198"/>
      <c r="AD176" s="198"/>
      <c r="AE176" s="198"/>
      <c r="AF176" s="198"/>
      <c r="AG176" s="198"/>
      <c r="AH176" s="198"/>
    </row>
    <row r="177" ht="15.75" customHeight="1">
      <c r="A177" s="198"/>
      <c r="B177" s="198"/>
      <c r="C177" s="198"/>
      <c r="D177" s="198"/>
      <c r="E177" s="198"/>
      <c r="F177" s="198"/>
      <c r="G177" s="199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9"/>
      <c r="AA177" s="198"/>
      <c r="AB177" s="198"/>
      <c r="AC177" s="198"/>
      <c r="AD177" s="198"/>
      <c r="AE177" s="198"/>
      <c r="AF177" s="198"/>
      <c r="AG177" s="198"/>
      <c r="AH177" s="198"/>
    </row>
    <row r="178" ht="15.75" customHeight="1">
      <c r="A178" s="198"/>
      <c r="B178" s="198"/>
      <c r="C178" s="198"/>
      <c r="D178" s="198"/>
      <c r="E178" s="198"/>
      <c r="F178" s="198"/>
      <c r="G178" s="199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9"/>
      <c r="AA178" s="198"/>
      <c r="AB178" s="198"/>
      <c r="AC178" s="198"/>
      <c r="AD178" s="198"/>
      <c r="AE178" s="198"/>
      <c r="AF178" s="198"/>
      <c r="AG178" s="198"/>
      <c r="AH178" s="198"/>
    </row>
    <row r="179" ht="15.75" customHeight="1">
      <c r="A179" s="198"/>
      <c r="B179" s="198"/>
      <c r="C179" s="198"/>
      <c r="D179" s="198"/>
      <c r="E179" s="198"/>
      <c r="F179" s="198"/>
      <c r="G179" s="199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9"/>
      <c r="AA179" s="198"/>
      <c r="AB179" s="198"/>
      <c r="AC179" s="198"/>
      <c r="AD179" s="198"/>
      <c r="AE179" s="198"/>
      <c r="AF179" s="198"/>
      <c r="AG179" s="198"/>
      <c r="AH179" s="198"/>
    </row>
    <row r="180" ht="15.75" customHeight="1">
      <c r="A180" s="198"/>
      <c r="B180" s="198"/>
      <c r="C180" s="198"/>
      <c r="D180" s="198"/>
      <c r="E180" s="198"/>
      <c r="F180" s="198"/>
      <c r="G180" s="199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9"/>
      <c r="AA180" s="198"/>
      <c r="AB180" s="198"/>
      <c r="AC180" s="198"/>
      <c r="AD180" s="198"/>
      <c r="AE180" s="198"/>
      <c r="AF180" s="198"/>
      <c r="AG180" s="198"/>
      <c r="AH180" s="198"/>
    </row>
    <row r="181" ht="15.75" customHeight="1">
      <c r="A181" s="198"/>
      <c r="B181" s="198"/>
      <c r="C181" s="198"/>
      <c r="D181" s="198"/>
      <c r="E181" s="198"/>
      <c r="F181" s="198"/>
      <c r="G181" s="199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9"/>
      <c r="AA181" s="198"/>
      <c r="AB181" s="198"/>
      <c r="AC181" s="198"/>
      <c r="AD181" s="198"/>
      <c r="AE181" s="198"/>
      <c r="AF181" s="198"/>
      <c r="AG181" s="198"/>
      <c r="AH181" s="198"/>
    </row>
    <row r="182" ht="15.75" customHeight="1">
      <c r="A182" s="198"/>
      <c r="B182" s="198"/>
      <c r="C182" s="198"/>
      <c r="D182" s="198"/>
      <c r="E182" s="198"/>
      <c r="F182" s="198"/>
      <c r="G182" s="199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9"/>
      <c r="AA182" s="198"/>
      <c r="AB182" s="198"/>
      <c r="AC182" s="198"/>
      <c r="AD182" s="198"/>
      <c r="AE182" s="198"/>
      <c r="AF182" s="198"/>
      <c r="AG182" s="198"/>
      <c r="AH182" s="198"/>
    </row>
    <row r="183" ht="15.75" customHeight="1">
      <c r="A183" s="198"/>
      <c r="B183" s="198"/>
      <c r="C183" s="198"/>
      <c r="D183" s="198"/>
      <c r="E183" s="198"/>
      <c r="F183" s="198"/>
      <c r="G183" s="199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9"/>
      <c r="AA183" s="198"/>
      <c r="AB183" s="198"/>
      <c r="AC183" s="198"/>
      <c r="AD183" s="198"/>
      <c r="AE183" s="198"/>
      <c r="AF183" s="198"/>
      <c r="AG183" s="198"/>
      <c r="AH183" s="198"/>
    </row>
    <row r="184" ht="15.75" customHeight="1">
      <c r="A184" s="198"/>
      <c r="B184" s="198"/>
      <c r="C184" s="198"/>
      <c r="D184" s="198"/>
      <c r="E184" s="198"/>
      <c r="F184" s="198"/>
      <c r="G184" s="199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9"/>
      <c r="AA184" s="198"/>
      <c r="AB184" s="198"/>
      <c r="AC184" s="198"/>
      <c r="AD184" s="198"/>
      <c r="AE184" s="198"/>
      <c r="AF184" s="198"/>
      <c r="AG184" s="198"/>
      <c r="AH184" s="198"/>
    </row>
    <row r="185" ht="15.75" customHeight="1">
      <c r="A185" s="198"/>
      <c r="B185" s="198"/>
      <c r="C185" s="198"/>
      <c r="D185" s="198"/>
      <c r="E185" s="198"/>
      <c r="F185" s="198"/>
      <c r="G185" s="199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9"/>
      <c r="AA185" s="198"/>
      <c r="AB185" s="198"/>
      <c r="AC185" s="198"/>
      <c r="AD185" s="198"/>
      <c r="AE185" s="198"/>
      <c r="AF185" s="198"/>
      <c r="AG185" s="198"/>
      <c r="AH185" s="198"/>
    </row>
    <row r="186" ht="15.75" customHeight="1">
      <c r="A186" s="198"/>
      <c r="B186" s="198"/>
      <c r="C186" s="198"/>
      <c r="D186" s="198"/>
      <c r="E186" s="198"/>
      <c r="F186" s="198"/>
      <c r="G186" s="199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9"/>
      <c r="AA186" s="198"/>
      <c r="AB186" s="198"/>
      <c r="AC186" s="198"/>
      <c r="AD186" s="198"/>
      <c r="AE186" s="198"/>
      <c r="AF186" s="198"/>
      <c r="AG186" s="198"/>
      <c r="AH186" s="198"/>
    </row>
    <row r="187" ht="15.75" customHeight="1">
      <c r="A187" s="198"/>
      <c r="B187" s="198"/>
      <c r="C187" s="198"/>
      <c r="D187" s="198"/>
      <c r="E187" s="198"/>
      <c r="F187" s="198"/>
      <c r="G187" s="199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9"/>
      <c r="AA187" s="198"/>
      <c r="AB187" s="198"/>
      <c r="AC187" s="198"/>
      <c r="AD187" s="198"/>
      <c r="AE187" s="198"/>
      <c r="AF187" s="198"/>
      <c r="AG187" s="198"/>
      <c r="AH187" s="198"/>
    </row>
    <row r="188" ht="15.75" customHeight="1">
      <c r="A188" s="198"/>
      <c r="B188" s="198"/>
      <c r="C188" s="198"/>
      <c r="D188" s="198"/>
      <c r="E188" s="198"/>
      <c r="F188" s="198"/>
      <c r="G188" s="199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9"/>
      <c r="AA188" s="198"/>
      <c r="AB188" s="198"/>
      <c r="AC188" s="198"/>
      <c r="AD188" s="198"/>
      <c r="AE188" s="198"/>
      <c r="AF188" s="198"/>
      <c r="AG188" s="198"/>
      <c r="AH188" s="198"/>
    </row>
    <row r="189" ht="15.75" customHeight="1">
      <c r="A189" s="198"/>
      <c r="B189" s="198"/>
      <c r="C189" s="198"/>
      <c r="D189" s="198"/>
      <c r="E189" s="198"/>
      <c r="F189" s="198"/>
      <c r="G189" s="199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9"/>
      <c r="AA189" s="198"/>
      <c r="AB189" s="198"/>
      <c r="AC189" s="198"/>
      <c r="AD189" s="198"/>
      <c r="AE189" s="198"/>
      <c r="AF189" s="198"/>
      <c r="AG189" s="198"/>
      <c r="AH189" s="198"/>
    </row>
    <row r="190" ht="15.75" customHeight="1">
      <c r="A190" s="198"/>
      <c r="B190" s="198"/>
      <c r="C190" s="198"/>
      <c r="D190" s="198"/>
      <c r="E190" s="198"/>
      <c r="F190" s="198"/>
      <c r="G190" s="199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9"/>
      <c r="AA190" s="198"/>
      <c r="AB190" s="198"/>
      <c r="AC190" s="198"/>
      <c r="AD190" s="198"/>
      <c r="AE190" s="198"/>
      <c r="AF190" s="198"/>
      <c r="AG190" s="198"/>
      <c r="AH190" s="198"/>
    </row>
    <row r="191" ht="15.75" customHeight="1">
      <c r="A191" s="198"/>
      <c r="B191" s="198"/>
      <c r="C191" s="198"/>
      <c r="D191" s="198"/>
      <c r="E191" s="198"/>
      <c r="F191" s="198"/>
      <c r="G191" s="199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9"/>
      <c r="AA191" s="198"/>
      <c r="AB191" s="198"/>
      <c r="AC191" s="198"/>
      <c r="AD191" s="198"/>
      <c r="AE191" s="198"/>
      <c r="AF191" s="198"/>
      <c r="AG191" s="198"/>
      <c r="AH191" s="198"/>
    </row>
    <row r="192" ht="15.75" customHeight="1">
      <c r="A192" s="198"/>
      <c r="B192" s="198"/>
      <c r="C192" s="198"/>
      <c r="D192" s="198"/>
      <c r="E192" s="198"/>
      <c r="F192" s="198"/>
      <c r="G192" s="199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9"/>
      <c r="AA192" s="198"/>
      <c r="AB192" s="198"/>
      <c r="AC192" s="198"/>
      <c r="AD192" s="198"/>
      <c r="AE192" s="198"/>
      <c r="AF192" s="198"/>
      <c r="AG192" s="198"/>
      <c r="AH192" s="198"/>
    </row>
    <row r="193" ht="15.75" customHeight="1">
      <c r="A193" s="198"/>
      <c r="B193" s="198"/>
      <c r="C193" s="198"/>
      <c r="D193" s="198"/>
      <c r="E193" s="198"/>
      <c r="F193" s="198"/>
      <c r="G193" s="199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9"/>
      <c r="AA193" s="198"/>
      <c r="AB193" s="198"/>
      <c r="AC193" s="198"/>
      <c r="AD193" s="198"/>
      <c r="AE193" s="198"/>
      <c r="AF193" s="198"/>
      <c r="AG193" s="198"/>
      <c r="AH193" s="198"/>
    </row>
    <row r="194" ht="15.75" customHeight="1">
      <c r="A194" s="198"/>
      <c r="B194" s="198"/>
      <c r="C194" s="198"/>
      <c r="D194" s="198"/>
      <c r="E194" s="198"/>
      <c r="F194" s="198"/>
      <c r="G194" s="199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9"/>
      <c r="AA194" s="198"/>
      <c r="AB194" s="198"/>
      <c r="AC194" s="198"/>
      <c r="AD194" s="198"/>
      <c r="AE194" s="198"/>
      <c r="AF194" s="198"/>
      <c r="AG194" s="198"/>
      <c r="AH194" s="198"/>
    </row>
    <row r="195" ht="15.75" customHeight="1">
      <c r="A195" s="198"/>
      <c r="B195" s="198"/>
      <c r="C195" s="198"/>
      <c r="D195" s="198"/>
      <c r="E195" s="198"/>
      <c r="F195" s="198"/>
      <c r="G195" s="199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9"/>
      <c r="AA195" s="198"/>
      <c r="AB195" s="198"/>
      <c r="AC195" s="198"/>
      <c r="AD195" s="198"/>
      <c r="AE195" s="198"/>
      <c r="AF195" s="198"/>
      <c r="AG195" s="198"/>
      <c r="AH195" s="198"/>
    </row>
    <row r="196" ht="15.75" customHeight="1">
      <c r="A196" s="198"/>
      <c r="B196" s="198"/>
      <c r="C196" s="198"/>
      <c r="D196" s="198"/>
      <c r="E196" s="198"/>
      <c r="F196" s="198"/>
      <c r="G196" s="199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9"/>
      <c r="AA196" s="198"/>
      <c r="AB196" s="198"/>
      <c r="AC196" s="198"/>
      <c r="AD196" s="198"/>
      <c r="AE196" s="198"/>
      <c r="AF196" s="198"/>
      <c r="AG196" s="198"/>
      <c r="AH196" s="198"/>
    </row>
    <row r="197" ht="15.75" customHeight="1">
      <c r="A197" s="198"/>
      <c r="B197" s="198"/>
      <c r="C197" s="198"/>
      <c r="D197" s="198"/>
      <c r="E197" s="198"/>
      <c r="F197" s="198"/>
      <c r="G197" s="199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9"/>
      <c r="AA197" s="198"/>
      <c r="AB197" s="198"/>
      <c r="AC197" s="198"/>
      <c r="AD197" s="198"/>
      <c r="AE197" s="198"/>
      <c r="AF197" s="198"/>
      <c r="AG197" s="198"/>
      <c r="AH197" s="198"/>
    </row>
    <row r="198" ht="15.75" customHeight="1">
      <c r="A198" s="198"/>
      <c r="B198" s="198"/>
      <c r="C198" s="198"/>
      <c r="D198" s="198"/>
      <c r="E198" s="198"/>
      <c r="F198" s="198"/>
      <c r="G198" s="199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9"/>
      <c r="AA198" s="198"/>
      <c r="AB198" s="198"/>
      <c r="AC198" s="198"/>
      <c r="AD198" s="198"/>
      <c r="AE198" s="198"/>
      <c r="AF198" s="198"/>
      <c r="AG198" s="198"/>
      <c r="AH198" s="198"/>
    </row>
    <row r="199" ht="15.75" customHeight="1">
      <c r="A199" s="198"/>
      <c r="B199" s="198"/>
      <c r="C199" s="198"/>
      <c r="D199" s="198"/>
      <c r="E199" s="198"/>
      <c r="F199" s="198"/>
      <c r="G199" s="199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9"/>
      <c r="AA199" s="198"/>
      <c r="AB199" s="198"/>
      <c r="AC199" s="198"/>
      <c r="AD199" s="198"/>
      <c r="AE199" s="198"/>
      <c r="AF199" s="198"/>
      <c r="AG199" s="198"/>
      <c r="AH199" s="198"/>
    </row>
    <row r="200" ht="15.75" customHeight="1">
      <c r="A200" s="198"/>
      <c r="B200" s="198"/>
      <c r="C200" s="198"/>
      <c r="D200" s="198"/>
      <c r="E200" s="198"/>
      <c r="F200" s="198"/>
      <c r="G200" s="199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9"/>
      <c r="AA200" s="198"/>
      <c r="AB200" s="198"/>
      <c r="AC200" s="198"/>
      <c r="AD200" s="198"/>
      <c r="AE200" s="198"/>
      <c r="AF200" s="198"/>
      <c r="AG200" s="198"/>
      <c r="AH200" s="198"/>
    </row>
    <row r="201" ht="15.75" customHeight="1">
      <c r="A201" s="198"/>
      <c r="B201" s="198"/>
      <c r="C201" s="198"/>
      <c r="D201" s="198"/>
      <c r="E201" s="198"/>
      <c r="F201" s="198"/>
      <c r="G201" s="199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9"/>
      <c r="AA201" s="198"/>
      <c r="AB201" s="198"/>
      <c r="AC201" s="198"/>
      <c r="AD201" s="198"/>
      <c r="AE201" s="198"/>
      <c r="AF201" s="198"/>
      <c r="AG201" s="198"/>
      <c r="AH201" s="198"/>
    </row>
    <row r="202" ht="15.75" customHeight="1">
      <c r="A202" s="198"/>
      <c r="B202" s="198"/>
      <c r="C202" s="198"/>
      <c r="D202" s="198"/>
      <c r="E202" s="198"/>
      <c r="F202" s="198"/>
      <c r="G202" s="199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9"/>
      <c r="AA202" s="198"/>
      <c r="AB202" s="198"/>
      <c r="AC202" s="198"/>
      <c r="AD202" s="198"/>
      <c r="AE202" s="198"/>
      <c r="AF202" s="198"/>
      <c r="AG202" s="198"/>
      <c r="AH202" s="198"/>
    </row>
    <row r="203" ht="15.75" customHeight="1">
      <c r="A203" s="198"/>
      <c r="B203" s="198"/>
      <c r="C203" s="198"/>
      <c r="D203" s="198"/>
      <c r="E203" s="198"/>
      <c r="F203" s="198"/>
      <c r="G203" s="199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9"/>
      <c r="AA203" s="198"/>
      <c r="AB203" s="198"/>
      <c r="AC203" s="198"/>
      <c r="AD203" s="198"/>
      <c r="AE203" s="198"/>
      <c r="AF203" s="198"/>
      <c r="AG203" s="198"/>
      <c r="AH203" s="198"/>
    </row>
    <row r="204" ht="15.75" customHeight="1">
      <c r="A204" s="198"/>
      <c r="B204" s="198"/>
      <c r="C204" s="198"/>
      <c r="D204" s="198"/>
      <c r="E204" s="198"/>
      <c r="F204" s="198"/>
      <c r="G204" s="199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9"/>
      <c r="AA204" s="198"/>
      <c r="AB204" s="198"/>
      <c r="AC204" s="198"/>
      <c r="AD204" s="198"/>
      <c r="AE204" s="198"/>
      <c r="AF204" s="198"/>
      <c r="AG204" s="198"/>
      <c r="AH204" s="198"/>
    </row>
    <row r="205" ht="15.75" customHeight="1">
      <c r="A205" s="198"/>
      <c r="B205" s="198"/>
      <c r="C205" s="198"/>
      <c r="D205" s="198"/>
      <c r="E205" s="198"/>
      <c r="F205" s="198"/>
      <c r="G205" s="199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9"/>
      <c r="AA205" s="198"/>
      <c r="AB205" s="198"/>
      <c r="AC205" s="198"/>
      <c r="AD205" s="198"/>
      <c r="AE205" s="198"/>
      <c r="AF205" s="198"/>
      <c r="AG205" s="198"/>
      <c r="AH205" s="198"/>
    </row>
    <row r="206" ht="15.75" customHeight="1">
      <c r="A206" s="198"/>
      <c r="B206" s="198"/>
      <c r="C206" s="198"/>
      <c r="D206" s="198"/>
      <c r="E206" s="198"/>
      <c r="F206" s="198"/>
      <c r="G206" s="199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9"/>
      <c r="AA206" s="198"/>
      <c r="AB206" s="198"/>
      <c r="AC206" s="198"/>
      <c r="AD206" s="198"/>
      <c r="AE206" s="198"/>
      <c r="AF206" s="198"/>
      <c r="AG206" s="198"/>
      <c r="AH206" s="198"/>
    </row>
    <row r="207" ht="15.75" customHeight="1">
      <c r="A207" s="198"/>
      <c r="B207" s="198"/>
      <c r="C207" s="198"/>
      <c r="D207" s="198"/>
      <c r="E207" s="198"/>
      <c r="F207" s="198"/>
      <c r="G207" s="199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8"/>
      <c r="AB207" s="198"/>
      <c r="AC207" s="198"/>
      <c r="AD207" s="198"/>
      <c r="AE207" s="198"/>
      <c r="AF207" s="198"/>
      <c r="AG207" s="198"/>
      <c r="AH207" s="198"/>
    </row>
    <row r="208" ht="15.75" customHeight="1">
      <c r="A208" s="198"/>
      <c r="B208" s="198"/>
      <c r="C208" s="198"/>
      <c r="D208" s="198"/>
      <c r="E208" s="198"/>
      <c r="F208" s="198"/>
      <c r="G208" s="199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9"/>
      <c r="AA208" s="198"/>
      <c r="AB208" s="198"/>
      <c r="AC208" s="198"/>
      <c r="AD208" s="198"/>
      <c r="AE208" s="198"/>
      <c r="AF208" s="198"/>
      <c r="AG208" s="198"/>
      <c r="AH208" s="198"/>
    </row>
    <row r="209" ht="15.75" customHeight="1">
      <c r="A209" s="198"/>
      <c r="B209" s="198"/>
      <c r="C209" s="198"/>
      <c r="D209" s="198"/>
      <c r="E209" s="198"/>
      <c r="F209" s="198"/>
      <c r="G209" s="199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9"/>
      <c r="AA209" s="198"/>
      <c r="AB209" s="198"/>
      <c r="AC209" s="198"/>
      <c r="AD209" s="198"/>
      <c r="AE209" s="198"/>
      <c r="AF209" s="198"/>
      <c r="AG209" s="198"/>
      <c r="AH209" s="198"/>
    </row>
    <row r="210" ht="15.75" customHeight="1">
      <c r="A210" s="198"/>
      <c r="B210" s="198"/>
      <c r="C210" s="198"/>
      <c r="D210" s="198"/>
      <c r="E210" s="198"/>
      <c r="F210" s="198"/>
      <c r="G210" s="199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8"/>
      <c r="AB210" s="198"/>
      <c r="AC210" s="198"/>
      <c r="AD210" s="198"/>
      <c r="AE210" s="198"/>
      <c r="AF210" s="198"/>
      <c r="AG210" s="198"/>
      <c r="AH210" s="198"/>
    </row>
    <row r="211" ht="15.75" customHeight="1">
      <c r="A211" s="198"/>
      <c r="B211" s="198"/>
      <c r="C211" s="198"/>
      <c r="D211" s="198"/>
      <c r="E211" s="198"/>
      <c r="F211" s="198"/>
      <c r="G211" s="199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8"/>
      <c r="AB211" s="198"/>
      <c r="AC211" s="198"/>
      <c r="AD211" s="198"/>
      <c r="AE211" s="198"/>
      <c r="AF211" s="198"/>
      <c r="AG211" s="198"/>
      <c r="AH211" s="198"/>
    </row>
    <row r="212" ht="15.75" customHeight="1">
      <c r="A212" s="198"/>
      <c r="B212" s="198"/>
      <c r="C212" s="198"/>
      <c r="D212" s="198"/>
      <c r="E212" s="198"/>
      <c r="F212" s="198"/>
      <c r="G212" s="199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9"/>
      <c r="AA212" s="198"/>
      <c r="AB212" s="198"/>
      <c r="AC212" s="198"/>
      <c r="AD212" s="198"/>
      <c r="AE212" s="198"/>
      <c r="AF212" s="198"/>
      <c r="AG212" s="198"/>
      <c r="AH212" s="198"/>
    </row>
    <row r="213" ht="15.75" customHeight="1">
      <c r="A213" s="198"/>
      <c r="B213" s="198"/>
      <c r="C213" s="198"/>
      <c r="D213" s="198"/>
      <c r="E213" s="198"/>
      <c r="F213" s="198"/>
      <c r="G213" s="199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9"/>
      <c r="AA213" s="198"/>
      <c r="AB213" s="198"/>
      <c r="AC213" s="198"/>
      <c r="AD213" s="198"/>
      <c r="AE213" s="198"/>
      <c r="AF213" s="198"/>
      <c r="AG213" s="198"/>
      <c r="AH213" s="198"/>
    </row>
    <row r="214" ht="15.75" customHeight="1">
      <c r="A214" s="198"/>
      <c r="B214" s="198"/>
      <c r="C214" s="198"/>
      <c r="D214" s="198"/>
      <c r="E214" s="198"/>
      <c r="F214" s="198"/>
      <c r="G214" s="199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8"/>
      <c r="AB214" s="198"/>
      <c r="AC214" s="198"/>
      <c r="AD214" s="198"/>
      <c r="AE214" s="198"/>
      <c r="AF214" s="198"/>
      <c r="AG214" s="198"/>
      <c r="AH214" s="198"/>
    </row>
    <row r="215" ht="15.75" customHeight="1">
      <c r="A215" s="198"/>
      <c r="B215" s="198"/>
      <c r="C215" s="198"/>
      <c r="D215" s="198"/>
      <c r="E215" s="198"/>
      <c r="F215" s="198"/>
      <c r="G215" s="199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9"/>
      <c r="AA215" s="198"/>
      <c r="AB215" s="198"/>
      <c r="AC215" s="198"/>
      <c r="AD215" s="198"/>
      <c r="AE215" s="198"/>
      <c r="AF215" s="198"/>
      <c r="AG215" s="198"/>
      <c r="AH215" s="198"/>
    </row>
    <row r="216" ht="15.75" customHeight="1">
      <c r="A216" s="198"/>
      <c r="B216" s="198"/>
      <c r="C216" s="198"/>
      <c r="D216" s="198"/>
      <c r="E216" s="198"/>
      <c r="F216" s="198"/>
      <c r="G216" s="199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9"/>
      <c r="AA216" s="198"/>
      <c r="AB216" s="198"/>
      <c r="AC216" s="198"/>
      <c r="AD216" s="198"/>
      <c r="AE216" s="198"/>
      <c r="AF216" s="198"/>
      <c r="AG216" s="198"/>
      <c r="AH216" s="198"/>
    </row>
    <row r="217" ht="15.75" customHeight="1">
      <c r="A217" s="198"/>
      <c r="B217" s="198"/>
      <c r="C217" s="198"/>
      <c r="D217" s="198"/>
      <c r="E217" s="198"/>
      <c r="F217" s="198"/>
      <c r="G217" s="199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9"/>
      <c r="AA217" s="198"/>
      <c r="AB217" s="198"/>
      <c r="AC217" s="198"/>
      <c r="AD217" s="198"/>
      <c r="AE217" s="198"/>
      <c r="AF217" s="198"/>
      <c r="AG217" s="198"/>
      <c r="AH217" s="198"/>
    </row>
    <row r="218" ht="15.75" customHeight="1">
      <c r="A218" s="198"/>
      <c r="B218" s="198"/>
      <c r="C218" s="198"/>
      <c r="D218" s="198"/>
      <c r="E218" s="198"/>
      <c r="F218" s="198"/>
      <c r="G218" s="199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9"/>
      <c r="AA218" s="198"/>
      <c r="AB218" s="198"/>
      <c r="AC218" s="198"/>
      <c r="AD218" s="198"/>
      <c r="AE218" s="198"/>
      <c r="AF218" s="198"/>
      <c r="AG218" s="198"/>
      <c r="AH218" s="198"/>
    </row>
    <row r="219" ht="15.75" customHeight="1">
      <c r="A219" s="198"/>
      <c r="B219" s="198"/>
      <c r="C219" s="198"/>
      <c r="D219" s="198"/>
      <c r="E219" s="198"/>
      <c r="F219" s="198"/>
      <c r="G219" s="199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9"/>
      <c r="AA219" s="198"/>
      <c r="AB219" s="198"/>
      <c r="AC219" s="198"/>
      <c r="AD219" s="198"/>
      <c r="AE219" s="198"/>
      <c r="AF219" s="198"/>
      <c r="AG219" s="198"/>
      <c r="AH219" s="198"/>
    </row>
    <row r="220" ht="15.75" customHeight="1">
      <c r="A220" s="198"/>
      <c r="B220" s="198"/>
      <c r="C220" s="198"/>
      <c r="D220" s="198"/>
      <c r="E220" s="198"/>
      <c r="F220" s="198"/>
      <c r="G220" s="199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9"/>
      <c r="AA220" s="198"/>
      <c r="AB220" s="198"/>
      <c r="AC220" s="198"/>
      <c r="AD220" s="198"/>
      <c r="AE220" s="198"/>
      <c r="AF220" s="198"/>
      <c r="AG220" s="198"/>
      <c r="AH220" s="198"/>
    </row>
    <row r="221" ht="15.75" customHeight="1">
      <c r="A221" s="198"/>
      <c r="B221" s="198"/>
      <c r="C221" s="198"/>
      <c r="D221" s="198"/>
      <c r="E221" s="198"/>
      <c r="F221" s="198"/>
      <c r="G221" s="199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9"/>
      <c r="AA221" s="198"/>
      <c r="AB221" s="198"/>
      <c r="AC221" s="198"/>
      <c r="AD221" s="198"/>
      <c r="AE221" s="198"/>
      <c r="AF221" s="198"/>
      <c r="AG221" s="198"/>
      <c r="AH221" s="198"/>
    </row>
    <row r="222" ht="15.75" customHeight="1">
      <c r="A222" s="198"/>
      <c r="B222" s="198"/>
      <c r="C222" s="198"/>
      <c r="D222" s="198"/>
      <c r="E222" s="198"/>
      <c r="F222" s="198"/>
      <c r="G222" s="199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9"/>
      <c r="AA222" s="198"/>
      <c r="AB222" s="198"/>
      <c r="AC222" s="198"/>
      <c r="AD222" s="198"/>
      <c r="AE222" s="198"/>
      <c r="AF222" s="198"/>
      <c r="AG222" s="198"/>
      <c r="AH222" s="198"/>
    </row>
    <row r="223" ht="15.75" customHeight="1">
      <c r="A223" s="198"/>
      <c r="B223" s="198"/>
      <c r="C223" s="198"/>
      <c r="D223" s="198"/>
      <c r="E223" s="198"/>
      <c r="F223" s="198"/>
      <c r="G223" s="199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9"/>
      <c r="AA223" s="198"/>
      <c r="AB223" s="198"/>
      <c r="AC223" s="198"/>
      <c r="AD223" s="198"/>
      <c r="AE223" s="198"/>
      <c r="AF223" s="198"/>
      <c r="AG223" s="198"/>
      <c r="AH223" s="198"/>
    </row>
    <row r="224" ht="15.75" customHeight="1">
      <c r="A224" s="198"/>
      <c r="B224" s="198"/>
      <c r="C224" s="198"/>
      <c r="D224" s="198"/>
      <c r="E224" s="198"/>
      <c r="F224" s="198"/>
      <c r="G224" s="199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9"/>
      <c r="AA224" s="198"/>
      <c r="AB224" s="198"/>
      <c r="AC224" s="198"/>
      <c r="AD224" s="198"/>
      <c r="AE224" s="198"/>
      <c r="AF224" s="198"/>
      <c r="AG224" s="198"/>
      <c r="AH224" s="198"/>
    </row>
    <row r="225" ht="15.75" customHeight="1">
      <c r="A225" s="198"/>
      <c r="B225" s="198"/>
      <c r="C225" s="198"/>
      <c r="D225" s="198"/>
      <c r="E225" s="198"/>
      <c r="F225" s="198"/>
      <c r="G225" s="199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9"/>
      <c r="AA225" s="198"/>
      <c r="AB225" s="198"/>
      <c r="AC225" s="198"/>
      <c r="AD225" s="198"/>
      <c r="AE225" s="198"/>
      <c r="AF225" s="198"/>
      <c r="AG225" s="198"/>
      <c r="AH225" s="198"/>
    </row>
    <row r="226" ht="15.75" customHeight="1">
      <c r="A226" s="198"/>
      <c r="B226" s="198"/>
      <c r="C226" s="198"/>
      <c r="D226" s="198"/>
      <c r="E226" s="198"/>
      <c r="F226" s="198"/>
      <c r="G226" s="199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9"/>
      <c r="AA226" s="198"/>
      <c r="AB226" s="198"/>
      <c r="AC226" s="198"/>
      <c r="AD226" s="198"/>
      <c r="AE226" s="198"/>
      <c r="AF226" s="198"/>
      <c r="AG226" s="198"/>
      <c r="AH226" s="198"/>
    </row>
    <row r="227" ht="15.75" customHeight="1">
      <c r="A227" s="198"/>
      <c r="B227" s="198"/>
      <c r="C227" s="198"/>
      <c r="D227" s="198"/>
      <c r="E227" s="198"/>
      <c r="F227" s="198"/>
      <c r="G227" s="199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9"/>
      <c r="AA227" s="198"/>
      <c r="AB227" s="198"/>
      <c r="AC227" s="198"/>
      <c r="AD227" s="198"/>
      <c r="AE227" s="198"/>
      <c r="AF227" s="198"/>
      <c r="AG227" s="198"/>
      <c r="AH227" s="198"/>
    </row>
    <row r="228" ht="15.75" customHeight="1">
      <c r="A228" s="198"/>
      <c r="B228" s="198"/>
      <c r="C228" s="198"/>
      <c r="D228" s="198"/>
      <c r="E228" s="198"/>
      <c r="F228" s="198"/>
      <c r="G228" s="199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9"/>
      <c r="AA228" s="198"/>
      <c r="AB228" s="198"/>
      <c r="AC228" s="198"/>
      <c r="AD228" s="198"/>
      <c r="AE228" s="198"/>
      <c r="AF228" s="198"/>
      <c r="AG228" s="198"/>
      <c r="AH228" s="198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4">
    <mergeCell ref="N2:R2"/>
    <mergeCell ref="M4:R4"/>
    <mergeCell ref="M5:R5"/>
    <mergeCell ref="A1:B1"/>
    <mergeCell ref="C1:D1"/>
    <mergeCell ref="E1:M1"/>
    <mergeCell ref="N1:R1"/>
    <mergeCell ref="C2:D2"/>
    <mergeCell ref="E2:M2"/>
    <mergeCell ref="C3:R3"/>
    <mergeCell ref="C5:D5"/>
    <mergeCell ref="E5:I5"/>
    <mergeCell ref="B20:D20"/>
    <mergeCell ref="B25:D25"/>
    <mergeCell ref="B26:D26"/>
    <mergeCell ref="B27:D27"/>
    <mergeCell ref="B28:D28"/>
    <mergeCell ref="A2:B2"/>
    <mergeCell ref="A3:B3"/>
    <mergeCell ref="A4:B4"/>
    <mergeCell ref="C4:D4"/>
    <mergeCell ref="E4:I4"/>
    <mergeCell ref="J4:L4"/>
    <mergeCell ref="A5:B5"/>
  </mergeCells>
  <dataValidations>
    <dataValidation type="list" allowBlank="1" showInputMessage="1" showErrorMessage="1" prompt=" - " sqref="E26:H26">
      <formula1>"P,F"</formula1>
    </dataValidation>
    <dataValidation type="list" allowBlank="1" showInputMessage="1" showErrorMessage="1" prompt=" - " sqref="E8:H24">
      <formula1>"O"</formula1>
    </dataValidation>
    <dataValidation type="list" allowBlank="1" showInputMessage="1" showErrorMessage="1" prompt=" - " sqref="E25:H25">
      <formula1>"N,A,B"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5"/>
    <col customWidth="1" min="4" max="4" width="21.38"/>
    <col customWidth="1" min="5" max="21" width="4.88"/>
  </cols>
  <sheetData>
    <row r="1">
      <c r="A1" s="159" t="s">
        <v>195</v>
      </c>
      <c r="B1" s="160"/>
      <c r="C1" s="161" t="s">
        <v>196</v>
      </c>
      <c r="D1" s="162"/>
      <c r="E1" s="163" t="s">
        <v>197</v>
      </c>
      <c r="F1" s="160"/>
      <c r="G1" s="160"/>
      <c r="H1" s="160"/>
      <c r="I1" s="160"/>
      <c r="J1" s="160"/>
      <c r="K1" s="160"/>
      <c r="L1" s="160"/>
      <c r="M1" s="160"/>
      <c r="N1" s="164" t="s">
        <v>198</v>
      </c>
      <c r="O1" s="160"/>
      <c r="P1" s="160"/>
      <c r="Q1" s="160"/>
      <c r="R1" s="165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</row>
    <row r="2">
      <c r="A2" s="168" t="s">
        <v>199</v>
      </c>
      <c r="B2" s="169"/>
      <c r="C2" s="170" t="s">
        <v>159</v>
      </c>
      <c r="D2" s="169"/>
      <c r="E2" s="171" t="s">
        <v>200</v>
      </c>
      <c r="F2" s="172"/>
      <c r="G2" s="172"/>
      <c r="H2" s="172"/>
      <c r="I2" s="172"/>
      <c r="J2" s="172"/>
      <c r="K2" s="172"/>
      <c r="L2" s="172"/>
      <c r="M2" s="173"/>
      <c r="N2" s="174" t="s">
        <v>159</v>
      </c>
      <c r="O2" s="172"/>
      <c r="P2" s="172"/>
      <c r="Q2" s="172"/>
      <c r="R2" s="175"/>
      <c r="S2" s="178"/>
      <c r="T2" s="178"/>
      <c r="U2" s="178"/>
      <c r="V2" s="260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</row>
    <row r="3">
      <c r="A3" s="179" t="s">
        <v>201</v>
      </c>
      <c r="B3" s="17"/>
      <c r="C3" s="180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81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</row>
    <row r="4">
      <c r="A4" s="183" t="s">
        <v>164</v>
      </c>
      <c r="B4" s="17"/>
      <c r="C4" s="184" t="s">
        <v>165</v>
      </c>
      <c r="D4" s="17"/>
      <c r="E4" s="184" t="s">
        <v>166</v>
      </c>
      <c r="F4" s="16"/>
      <c r="G4" s="16"/>
      <c r="H4" s="16"/>
      <c r="I4" s="16"/>
      <c r="J4" s="185" t="s">
        <v>202</v>
      </c>
      <c r="K4" s="16"/>
      <c r="L4" s="16"/>
      <c r="M4" s="184" t="s">
        <v>169</v>
      </c>
      <c r="N4" s="16"/>
      <c r="O4" s="16"/>
      <c r="P4" s="16"/>
      <c r="Q4" s="16"/>
      <c r="R4" s="181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</row>
    <row r="5">
      <c r="A5" s="188">
        <f>COUNTIF(E43:HZ43,"P")</f>
        <v>13</v>
      </c>
      <c r="B5" s="189"/>
      <c r="C5" s="190">
        <f>COUNTIF(E43:HZ43,"F")</f>
        <v>0</v>
      </c>
      <c r="D5" s="189"/>
      <c r="E5" s="191">
        <f>SUM(M5,-A5,-C5)</f>
        <v>0</v>
      </c>
      <c r="F5" s="192"/>
      <c r="G5" s="192"/>
      <c r="H5" s="192"/>
      <c r="I5" s="192"/>
      <c r="J5" s="193">
        <f>COUNTIF(A42:HV42,"N")</f>
        <v>1</v>
      </c>
      <c r="K5" s="193">
        <f>COUNTIF(B42:HW42,"A")</f>
        <v>10</v>
      </c>
      <c r="L5" s="193">
        <f>COUNTIF(C42:HX42,"B")</f>
        <v>2</v>
      </c>
      <c r="M5" s="190">
        <f>COUNTA(A7:HN7)</f>
        <v>13</v>
      </c>
      <c r="N5" s="192"/>
      <c r="O5" s="192"/>
      <c r="P5" s="192"/>
      <c r="Q5" s="192"/>
      <c r="R5" s="194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</row>
    <row r="6">
      <c r="A6" s="198"/>
      <c r="B6" s="198"/>
      <c r="C6" s="198"/>
      <c r="D6" s="198"/>
      <c r="E6" s="198"/>
      <c r="F6" s="198"/>
      <c r="G6" s="199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9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</row>
    <row r="7" ht="48.0" customHeight="1">
      <c r="A7" s="200"/>
      <c r="B7" s="201"/>
      <c r="C7" s="201"/>
      <c r="D7" s="201"/>
      <c r="E7" s="202" t="s">
        <v>203</v>
      </c>
      <c r="F7" s="202" t="s">
        <v>204</v>
      </c>
      <c r="G7" s="202" t="s">
        <v>205</v>
      </c>
      <c r="H7" s="202" t="s">
        <v>206</v>
      </c>
      <c r="I7" s="202" t="s">
        <v>207</v>
      </c>
      <c r="J7" s="202" t="s">
        <v>208</v>
      </c>
      <c r="K7" s="202" t="s">
        <v>209</v>
      </c>
      <c r="L7" s="202" t="s">
        <v>210</v>
      </c>
      <c r="M7" s="202" t="s">
        <v>211</v>
      </c>
      <c r="N7" s="202" t="s">
        <v>212</v>
      </c>
      <c r="O7" s="202" t="s">
        <v>213</v>
      </c>
      <c r="P7" s="202" t="s">
        <v>214</v>
      </c>
      <c r="Q7" s="202" t="s">
        <v>215</v>
      </c>
      <c r="R7" s="198"/>
      <c r="S7" s="198"/>
      <c r="T7" s="198"/>
      <c r="U7" s="198"/>
      <c r="V7" s="199"/>
      <c r="W7" s="261"/>
      <c r="X7" s="198"/>
      <c r="Y7" s="198"/>
      <c r="Z7" s="198"/>
      <c r="AA7" s="198"/>
      <c r="AB7" s="203"/>
      <c r="AC7" s="203"/>
      <c r="AD7" s="203"/>
      <c r="AE7" s="203"/>
      <c r="AF7" s="203"/>
      <c r="AG7" s="203"/>
      <c r="AH7" s="203"/>
    </row>
    <row r="8">
      <c r="A8" s="204" t="s">
        <v>219</v>
      </c>
      <c r="B8" s="205" t="s">
        <v>220</v>
      </c>
      <c r="C8" s="262"/>
      <c r="D8" s="263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198"/>
      <c r="S8" s="198"/>
      <c r="T8" s="198"/>
      <c r="U8" s="198"/>
      <c r="V8" s="199"/>
      <c r="W8" s="199"/>
      <c r="X8" s="199"/>
      <c r="Y8" s="199"/>
      <c r="Z8" s="199"/>
      <c r="AA8" s="199"/>
      <c r="AB8" s="265"/>
      <c r="AC8" s="265"/>
      <c r="AD8" s="265"/>
      <c r="AE8" s="265"/>
      <c r="AF8" s="265"/>
      <c r="AG8" s="265"/>
      <c r="AH8" s="265"/>
    </row>
    <row r="9">
      <c r="A9" s="266"/>
      <c r="B9" s="267"/>
      <c r="C9" s="268"/>
      <c r="D9" s="213" t="s">
        <v>221</v>
      </c>
      <c r="E9" s="214" t="s">
        <v>222</v>
      </c>
      <c r="F9" s="214" t="s">
        <v>222</v>
      </c>
      <c r="G9" s="214" t="s">
        <v>222</v>
      </c>
      <c r="H9" s="214" t="s">
        <v>222</v>
      </c>
      <c r="I9" s="214" t="s">
        <v>222</v>
      </c>
      <c r="J9" s="214" t="s">
        <v>222</v>
      </c>
      <c r="K9" s="214" t="s">
        <v>222</v>
      </c>
      <c r="L9" s="214" t="s">
        <v>222</v>
      </c>
      <c r="M9" s="233" t="s">
        <v>222</v>
      </c>
      <c r="N9" s="214"/>
      <c r="O9" s="214"/>
      <c r="P9" s="214"/>
      <c r="Q9" s="214"/>
      <c r="R9" s="198"/>
      <c r="S9" s="198"/>
      <c r="T9" s="198"/>
      <c r="U9" s="198"/>
      <c r="V9" s="199"/>
      <c r="W9" s="269"/>
      <c r="X9" s="199"/>
      <c r="Y9" s="199"/>
      <c r="Z9" s="199"/>
      <c r="AA9" s="199"/>
      <c r="AB9" s="265"/>
      <c r="AC9" s="265"/>
      <c r="AD9" s="265"/>
      <c r="AE9" s="265"/>
      <c r="AF9" s="265"/>
      <c r="AG9" s="265"/>
      <c r="AH9" s="265"/>
    </row>
    <row r="10">
      <c r="A10" s="266"/>
      <c r="B10" s="215" t="s">
        <v>314</v>
      </c>
      <c r="C10" s="268"/>
      <c r="D10" s="303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198"/>
      <c r="S10" s="198"/>
      <c r="T10" s="198"/>
      <c r="U10" s="198"/>
      <c r="V10" s="199"/>
      <c r="W10" s="199"/>
      <c r="X10" s="199"/>
      <c r="Y10" s="199"/>
      <c r="Z10" s="199"/>
      <c r="AA10" s="199"/>
      <c r="AB10" s="265"/>
      <c r="AC10" s="265"/>
      <c r="AD10" s="265"/>
      <c r="AE10" s="265"/>
      <c r="AF10" s="265"/>
      <c r="AG10" s="265"/>
      <c r="AH10" s="265"/>
    </row>
    <row r="11">
      <c r="A11" s="266"/>
      <c r="B11" s="304"/>
      <c r="C11" s="305" t="s">
        <v>310</v>
      </c>
      <c r="D11" s="218">
        <v>1.0</v>
      </c>
      <c r="E11" s="209" t="s">
        <v>222</v>
      </c>
      <c r="F11" s="209" t="s">
        <v>222</v>
      </c>
      <c r="G11" s="209" t="s">
        <v>222</v>
      </c>
      <c r="H11" s="209" t="s">
        <v>222</v>
      </c>
      <c r="I11" s="209" t="s">
        <v>222</v>
      </c>
      <c r="J11" s="209" t="s">
        <v>222</v>
      </c>
      <c r="K11" s="209"/>
      <c r="L11" s="209"/>
      <c r="M11" s="209"/>
      <c r="N11" s="209"/>
      <c r="O11" s="209"/>
      <c r="P11" s="209"/>
      <c r="Q11" s="209"/>
      <c r="R11" s="198"/>
      <c r="S11" s="198"/>
      <c r="T11" s="198"/>
      <c r="U11" s="198"/>
      <c r="V11" s="199"/>
      <c r="W11" s="199"/>
      <c r="X11" s="199"/>
      <c r="Y11" s="199"/>
      <c r="Z11" s="199"/>
      <c r="AA11" s="199"/>
      <c r="AB11" s="265"/>
      <c r="AC11" s="265"/>
      <c r="AD11" s="265"/>
      <c r="AE11" s="265"/>
      <c r="AF11" s="265"/>
      <c r="AG11" s="265"/>
      <c r="AH11" s="265"/>
    </row>
    <row r="12">
      <c r="A12" s="266"/>
      <c r="B12" s="304"/>
      <c r="C12" s="305" t="s">
        <v>344</v>
      </c>
      <c r="D12" s="218" t="s">
        <v>297</v>
      </c>
      <c r="E12" s="209"/>
      <c r="F12" s="209"/>
      <c r="G12" s="209"/>
      <c r="H12" s="209"/>
      <c r="I12" s="209"/>
      <c r="J12" s="209"/>
      <c r="K12" s="330" t="s">
        <v>222</v>
      </c>
      <c r="L12" s="209"/>
      <c r="M12" s="209"/>
      <c r="N12" s="209"/>
      <c r="O12" s="209"/>
      <c r="P12" s="209"/>
      <c r="Q12" s="209"/>
      <c r="R12" s="198"/>
      <c r="S12" s="198"/>
      <c r="T12" s="198"/>
      <c r="U12" s="198"/>
      <c r="V12" s="199"/>
      <c r="W12" s="199"/>
      <c r="X12" s="199"/>
      <c r="Y12" s="199"/>
      <c r="Z12" s="199"/>
      <c r="AA12" s="199"/>
      <c r="AB12" s="265"/>
      <c r="AC12" s="265"/>
      <c r="AD12" s="265"/>
      <c r="AE12" s="265"/>
      <c r="AF12" s="265"/>
      <c r="AG12" s="265"/>
      <c r="AH12" s="265"/>
    </row>
    <row r="13">
      <c r="A13" s="266"/>
      <c r="B13" s="304"/>
      <c r="C13" s="305" t="s">
        <v>315</v>
      </c>
      <c r="D13" s="218">
        <v>9999.0</v>
      </c>
      <c r="E13" s="209"/>
      <c r="F13" s="209"/>
      <c r="G13" s="209"/>
      <c r="H13" s="209"/>
      <c r="I13" s="209"/>
      <c r="J13" s="209"/>
      <c r="K13" s="209"/>
      <c r="L13" s="330" t="s">
        <v>222</v>
      </c>
      <c r="M13" s="209"/>
      <c r="N13" s="209"/>
      <c r="O13" s="209"/>
      <c r="P13" s="209"/>
      <c r="Q13" s="209"/>
      <c r="R13" s="198"/>
      <c r="S13" s="198"/>
      <c r="T13" s="198"/>
      <c r="U13" s="198"/>
      <c r="V13" s="199"/>
      <c r="W13" s="199"/>
      <c r="X13" s="199"/>
      <c r="Y13" s="199"/>
      <c r="Z13" s="199"/>
      <c r="AA13" s="199"/>
      <c r="AB13" s="265"/>
      <c r="AC13" s="265"/>
      <c r="AD13" s="265"/>
      <c r="AE13" s="265"/>
      <c r="AF13" s="265"/>
      <c r="AG13" s="265"/>
      <c r="AH13" s="265"/>
    </row>
    <row r="14">
      <c r="A14" s="266"/>
      <c r="B14" s="221"/>
      <c r="C14" s="305" t="s">
        <v>316</v>
      </c>
      <c r="D14" s="218" t="s">
        <v>262</v>
      </c>
      <c r="E14" s="209"/>
      <c r="F14" s="209"/>
      <c r="G14" s="209"/>
      <c r="H14" s="209"/>
      <c r="I14" s="209"/>
      <c r="J14" s="209"/>
      <c r="K14" s="209"/>
      <c r="L14" s="209"/>
      <c r="M14" s="330" t="s">
        <v>222</v>
      </c>
      <c r="N14" s="209"/>
      <c r="O14" s="209"/>
      <c r="P14" s="209"/>
      <c r="Q14" s="209"/>
      <c r="R14" s="198"/>
      <c r="S14" s="198"/>
      <c r="T14" s="198"/>
      <c r="U14" s="198"/>
      <c r="V14" s="199"/>
      <c r="W14" s="199"/>
      <c r="X14" s="199"/>
      <c r="Y14" s="199"/>
      <c r="Z14" s="199"/>
      <c r="AA14" s="199"/>
      <c r="AB14" s="265"/>
      <c r="AC14" s="265"/>
      <c r="AD14" s="265"/>
      <c r="AE14" s="265"/>
      <c r="AF14" s="265"/>
      <c r="AG14" s="265"/>
      <c r="AH14" s="265"/>
    </row>
    <row r="15">
      <c r="A15" s="266"/>
      <c r="B15" s="215" t="s">
        <v>345</v>
      </c>
      <c r="C15" s="268"/>
      <c r="D15" s="303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198"/>
      <c r="S15" s="198"/>
      <c r="T15" s="198"/>
      <c r="U15" s="198"/>
      <c r="V15" s="199"/>
      <c r="W15" s="199"/>
      <c r="X15" s="199"/>
      <c r="Y15" s="199"/>
      <c r="Z15" s="199"/>
      <c r="AA15" s="199"/>
      <c r="AB15" s="265"/>
      <c r="AC15" s="265"/>
      <c r="AD15" s="265"/>
      <c r="AE15" s="265"/>
      <c r="AF15" s="265"/>
      <c r="AG15" s="265"/>
      <c r="AH15" s="265"/>
    </row>
    <row r="16">
      <c r="A16" s="210"/>
      <c r="B16" s="211"/>
      <c r="C16" s="305" t="s">
        <v>346</v>
      </c>
      <c r="D16" s="324" t="s">
        <v>347</v>
      </c>
      <c r="E16" s="209" t="s">
        <v>222</v>
      </c>
      <c r="F16" s="209"/>
      <c r="G16" s="330"/>
      <c r="H16" s="330" t="s">
        <v>222</v>
      </c>
      <c r="I16" s="330" t="s">
        <v>222</v>
      </c>
      <c r="J16" s="330" t="s">
        <v>222</v>
      </c>
      <c r="K16" s="330" t="s">
        <v>222</v>
      </c>
      <c r="L16" s="330" t="s">
        <v>222</v>
      </c>
      <c r="M16" s="330" t="s">
        <v>222</v>
      </c>
      <c r="N16" s="209"/>
      <c r="O16" s="209"/>
      <c r="P16" s="209"/>
      <c r="Q16" s="209"/>
      <c r="R16" s="198"/>
      <c r="S16" s="198"/>
      <c r="T16" s="198"/>
      <c r="U16" s="198"/>
      <c r="V16" s="199"/>
      <c r="W16" s="199"/>
      <c r="X16" s="199"/>
      <c r="Y16" s="199"/>
      <c r="Z16" s="198"/>
      <c r="AA16" s="198"/>
      <c r="AB16" s="198"/>
      <c r="AC16" s="198"/>
      <c r="AD16" s="198"/>
      <c r="AE16" s="203"/>
      <c r="AF16" s="203"/>
      <c r="AG16" s="203"/>
      <c r="AH16" s="203"/>
    </row>
    <row r="17">
      <c r="A17" s="210"/>
      <c r="B17" s="211"/>
      <c r="C17" s="305" t="s">
        <v>348</v>
      </c>
      <c r="D17" s="324"/>
      <c r="E17" s="209"/>
      <c r="F17" s="330" t="s">
        <v>222</v>
      </c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198"/>
      <c r="S17" s="198"/>
      <c r="T17" s="198"/>
      <c r="U17" s="198"/>
      <c r="V17" s="199"/>
      <c r="W17" s="199"/>
      <c r="X17" s="199"/>
      <c r="Y17" s="199"/>
      <c r="Z17" s="198"/>
      <c r="AA17" s="198"/>
      <c r="AB17" s="198"/>
      <c r="AC17" s="198"/>
      <c r="AD17" s="198"/>
      <c r="AE17" s="203"/>
      <c r="AF17" s="203"/>
      <c r="AG17" s="203"/>
      <c r="AH17" s="203"/>
    </row>
    <row r="18">
      <c r="A18" s="210"/>
      <c r="B18" s="211"/>
      <c r="C18" s="305" t="s">
        <v>349</v>
      </c>
      <c r="D18" s="324" t="s">
        <v>350</v>
      </c>
      <c r="E18" s="209"/>
      <c r="F18" s="209"/>
      <c r="G18" s="330" t="s">
        <v>222</v>
      </c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198"/>
      <c r="S18" s="198"/>
      <c r="T18" s="198"/>
      <c r="U18" s="198"/>
      <c r="V18" s="199"/>
      <c r="W18" s="199"/>
      <c r="X18" s="199"/>
      <c r="Y18" s="199"/>
      <c r="Z18" s="198"/>
      <c r="AA18" s="198"/>
      <c r="AB18" s="198"/>
      <c r="AC18" s="198"/>
      <c r="AD18" s="198"/>
      <c r="AE18" s="203"/>
      <c r="AF18" s="203"/>
      <c r="AG18" s="203"/>
      <c r="AH18" s="203"/>
    </row>
    <row r="19" ht="15.75" customHeight="1">
      <c r="A19" s="270"/>
      <c r="B19" s="215" t="s">
        <v>351</v>
      </c>
      <c r="C19" s="271"/>
      <c r="D19" s="213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198"/>
      <c r="S19" s="198"/>
      <c r="T19" s="198"/>
      <c r="U19" s="198"/>
      <c r="V19" s="199"/>
      <c r="W19" s="199"/>
      <c r="X19" s="199"/>
      <c r="Y19" s="199"/>
      <c r="Z19" s="199"/>
      <c r="AA19" s="199"/>
      <c r="AB19" s="265"/>
      <c r="AC19" s="265"/>
      <c r="AD19" s="265"/>
      <c r="AE19" s="265"/>
      <c r="AF19" s="265"/>
      <c r="AG19" s="265"/>
      <c r="AH19" s="265"/>
    </row>
    <row r="20" ht="15.75" customHeight="1">
      <c r="A20" s="210"/>
      <c r="B20" s="211"/>
      <c r="C20" s="305" t="s">
        <v>352</v>
      </c>
      <c r="D20" s="218" t="s">
        <v>353</v>
      </c>
      <c r="E20" s="209" t="s">
        <v>222</v>
      </c>
      <c r="F20" s="330" t="s">
        <v>222</v>
      </c>
      <c r="G20" s="330" t="s">
        <v>222</v>
      </c>
      <c r="H20" s="209"/>
      <c r="I20" s="330" t="s">
        <v>222</v>
      </c>
      <c r="J20" s="330" t="s">
        <v>222</v>
      </c>
      <c r="K20" s="330" t="s">
        <v>222</v>
      </c>
      <c r="L20" s="330" t="s">
        <v>222</v>
      </c>
      <c r="M20" s="330" t="s">
        <v>222</v>
      </c>
      <c r="N20" s="209"/>
      <c r="O20" s="209"/>
      <c r="P20" s="209"/>
      <c r="Q20" s="209"/>
      <c r="R20" s="198"/>
      <c r="S20" s="198"/>
      <c r="T20" s="198"/>
      <c r="U20" s="198"/>
      <c r="V20" s="199"/>
      <c r="W20" s="198"/>
      <c r="X20" s="198"/>
      <c r="Y20" s="198"/>
      <c r="Z20" s="198"/>
      <c r="AA20" s="203"/>
      <c r="AB20" s="203"/>
      <c r="AC20" s="203"/>
      <c r="AD20" s="203"/>
      <c r="AE20" s="265"/>
      <c r="AF20" s="265"/>
      <c r="AG20" s="265"/>
      <c r="AH20" s="265"/>
    </row>
    <row r="21" ht="15.75" customHeight="1">
      <c r="A21" s="210"/>
      <c r="B21" s="211"/>
      <c r="C21" s="305" t="s">
        <v>262</v>
      </c>
      <c r="D21" s="218" t="s">
        <v>262</v>
      </c>
      <c r="E21" s="209"/>
      <c r="F21" s="209"/>
      <c r="G21" s="330"/>
      <c r="H21" s="330" t="s">
        <v>222</v>
      </c>
      <c r="I21" s="209"/>
      <c r="J21" s="209"/>
      <c r="K21" s="209"/>
      <c r="L21" s="209"/>
      <c r="M21" s="209"/>
      <c r="N21" s="209"/>
      <c r="O21" s="209"/>
      <c r="P21" s="209"/>
      <c r="Q21" s="209"/>
      <c r="R21" s="198"/>
      <c r="S21" s="198"/>
      <c r="T21" s="198"/>
      <c r="U21" s="198"/>
      <c r="V21" s="199"/>
      <c r="W21" s="198"/>
      <c r="X21" s="198"/>
      <c r="Y21" s="198"/>
      <c r="Z21" s="198"/>
      <c r="AA21" s="203"/>
      <c r="AB21" s="203"/>
      <c r="AC21" s="203"/>
      <c r="AD21" s="203"/>
      <c r="AE21" s="265"/>
      <c r="AF21" s="265"/>
      <c r="AG21" s="265"/>
      <c r="AH21" s="265"/>
    </row>
    <row r="22" ht="15.75" customHeight="1">
      <c r="A22" s="210"/>
      <c r="B22" s="215" t="s">
        <v>354</v>
      </c>
      <c r="C22" s="271"/>
      <c r="D22" s="213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198"/>
      <c r="S22" s="198"/>
      <c r="T22" s="198"/>
      <c r="U22" s="198"/>
      <c r="V22" s="199"/>
      <c r="W22" s="198"/>
      <c r="X22" s="198"/>
      <c r="Y22" s="198"/>
      <c r="Z22" s="198"/>
      <c r="AA22" s="203"/>
      <c r="AB22" s="203"/>
      <c r="AC22" s="203"/>
      <c r="AD22" s="203"/>
      <c r="AE22" s="265"/>
      <c r="AF22" s="265"/>
      <c r="AG22" s="265"/>
      <c r="AH22" s="265"/>
    </row>
    <row r="23" ht="15.75" customHeight="1">
      <c r="A23" s="210"/>
      <c r="B23" s="211"/>
      <c r="C23" s="217" t="s">
        <v>355</v>
      </c>
      <c r="D23" s="218">
        <v>1.0</v>
      </c>
      <c r="E23" s="209" t="s">
        <v>222</v>
      </c>
      <c r="F23" s="330" t="s">
        <v>222</v>
      </c>
      <c r="G23" s="330" t="s">
        <v>222</v>
      </c>
      <c r="H23" s="330" t="s">
        <v>222</v>
      </c>
      <c r="I23" s="209"/>
      <c r="J23" s="209"/>
      <c r="K23" s="330" t="s">
        <v>222</v>
      </c>
      <c r="L23" s="330" t="s">
        <v>222</v>
      </c>
      <c r="M23" s="330" t="s">
        <v>222</v>
      </c>
      <c r="N23" s="209"/>
      <c r="O23" s="209"/>
      <c r="P23" s="209"/>
      <c r="Q23" s="209"/>
      <c r="R23" s="198"/>
      <c r="S23" s="198"/>
      <c r="T23" s="198"/>
      <c r="U23" s="198"/>
      <c r="V23" s="199"/>
      <c r="W23" s="198"/>
      <c r="X23" s="198"/>
      <c r="Y23" s="198"/>
      <c r="Z23" s="198"/>
      <c r="AA23" s="203"/>
      <c r="AB23" s="203"/>
      <c r="AC23" s="203"/>
      <c r="AD23" s="203"/>
      <c r="AE23" s="265"/>
      <c r="AF23" s="265"/>
      <c r="AG23" s="265"/>
      <c r="AH23" s="265"/>
    </row>
    <row r="24" ht="15.75" customHeight="1">
      <c r="A24" s="220"/>
      <c r="B24" s="211"/>
      <c r="C24" s="217" t="s">
        <v>262</v>
      </c>
      <c r="D24" s="218" t="s">
        <v>262</v>
      </c>
      <c r="E24" s="209"/>
      <c r="F24" s="209"/>
      <c r="G24" s="209"/>
      <c r="H24" s="209"/>
      <c r="I24" s="330" t="s">
        <v>222</v>
      </c>
      <c r="J24" s="209"/>
      <c r="K24" s="209"/>
      <c r="L24" s="209"/>
      <c r="M24" s="209"/>
      <c r="N24" s="209"/>
      <c r="O24" s="209"/>
      <c r="P24" s="209"/>
      <c r="Q24" s="209"/>
      <c r="R24" s="198"/>
      <c r="S24" s="198"/>
      <c r="T24" s="198"/>
      <c r="U24" s="198"/>
      <c r="V24" s="199"/>
      <c r="W24" s="198"/>
      <c r="X24" s="198"/>
      <c r="Y24" s="198"/>
      <c r="Z24" s="198"/>
      <c r="AA24" s="203"/>
      <c r="AB24" s="203"/>
      <c r="AC24" s="203"/>
      <c r="AD24" s="203"/>
      <c r="AE24" s="265"/>
      <c r="AF24" s="265"/>
      <c r="AG24" s="265"/>
      <c r="AH24" s="265"/>
    </row>
    <row r="25" ht="15.75" customHeight="1">
      <c r="A25" s="220"/>
      <c r="B25" s="211"/>
      <c r="C25" s="217" t="s">
        <v>340</v>
      </c>
      <c r="D25" s="218" t="s">
        <v>297</v>
      </c>
      <c r="E25" s="209"/>
      <c r="F25" s="209"/>
      <c r="G25" s="209"/>
      <c r="H25" s="209"/>
      <c r="I25" s="209"/>
      <c r="J25" s="330" t="s">
        <v>222</v>
      </c>
      <c r="K25" s="209"/>
      <c r="L25" s="209"/>
      <c r="M25" s="209"/>
      <c r="N25" s="209"/>
      <c r="O25" s="209"/>
      <c r="P25" s="209"/>
      <c r="Q25" s="209"/>
      <c r="R25" s="198"/>
      <c r="S25" s="198"/>
      <c r="T25" s="198"/>
      <c r="U25" s="198"/>
      <c r="V25" s="199"/>
      <c r="W25" s="198"/>
      <c r="X25" s="198"/>
      <c r="Y25" s="198"/>
      <c r="Z25" s="198"/>
      <c r="AA25" s="203"/>
      <c r="AB25" s="203"/>
      <c r="AC25" s="203"/>
      <c r="AD25" s="203"/>
      <c r="AE25" s="265"/>
      <c r="AF25" s="265"/>
      <c r="AG25" s="265"/>
      <c r="AH25" s="265"/>
    </row>
    <row r="26" ht="15.75" customHeight="1">
      <c r="A26" s="210"/>
      <c r="B26" s="215" t="s">
        <v>356</v>
      </c>
      <c r="C26" s="271"/>
      <c r="D26" s="213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198"/>
      <c r="S26" s="198"/>
      <c r="T26" s="198"/>
      <c r="U26" s="198"/>
      <c r="V26" s="199"/>
      <c r="W26" s="198"/>
      <c r="X26" s="198"/>
      <c r="Y26" s="198"/>
      <c r="Z26" s="198"/>
      <c r="AA26" s="203"/>
      <c r="AB26" s="203"/>
      <c r="AC26" s="203"/>
      <c r="AD26" s="203"/>
      <c r="AE26" s="265"/>
      <c r="AF26" s="265"/>
      <c r="AG26" s="265"/>
      <c r="AH26" s="265"/>
    </row>
    <row r="27" ht="15.75" customHeight="1">
      <c r="A27" s="210"/>
      <c r="B27" s="211"/>
      <c r="C27" s="217" t="s">
        <v>357</v>
      </c>
      <c r="D27" s="218" t="s">
        <v>358</v>
      </c>
      <c r="E27" s="209" t="s">
        <v>222</v>
      </c>
      <c r="F27" s="330" t="s">
        <v>222</v>
      </c>
      <c r="G27" s="330" t="s">
        <v>222</v>
      </c>
      <c r="H27" s="330" t="s">
        <v>222</v>
      </c>
      <c r="I27" s="330" t="s">
        <v>222</v>
      </c>
      <c r="J27" s="330" t="s">
        <v>222</v>
      </c>
      <c r="K27" s="330" t="s">
        <v>222</v>
      </c>
      <c r="L27" s="330" t="s">
        <v>222</v>
      </c>
      <c r="M27" s="330" t="s">
        <v>222</v>
      </c>
      <c r="N27" s="209"/>
      <c r="O27" s="209"/>
      <c r="P27" s="209"/>
      <c r="Q27" s="209"/>
      <c r="R27" s="198"/>
      <c r="S27" s="198"/>
      <c r="T27" s="198"/>
      <c r="U27" s="198"/>
      <c r="V27" s="199"/>
      <c r="W27" s="198"/>
      <c r="X27" s="198"/>
      <c r="Y27" s="198"/>
      <c r="Z27" s="198"/>
      <c r="AA27" s="203"/>
      <c r="AB27" s="203"/>
      <c r="AC27" s="203"/>
      <c r="AD27" s="203"/>
      <c r="AE27" s="265"/>
      <c r="AF27" s="265"/>
      <c r="AG27" s="265"/>
      <c r="AH27" s="265"/>
    </row>
    <row r="28" ht="15.75" customHeight="1">
      <c r="A28" s="226" t="s">
        <v>238</v>
      </c>
      <c r="B28" s="227" t="s">
        <v>239</v>
      </c>
      <c r="C28" s="228"/>
      <c r="D28" s="229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198"/>
      <c r="S28" s="198"/>
      <c r="T28" s="198"/>
      <c r="U28" s="198"/>
      <c r="V28" s="199"/>
      <c r="W28" s="199"/>
      <c r="X28" s="199"/>
      <c r="Y28" s="199"/>
      <c r="Z28" s="199"/>
      <c r="AA28" s="199"/>
      <c r="AB28" s="265"/>
      <c r="AC28" s="265"/>
      <c r="AD28" s="265"/>
      <c r="AE28" s="265"/>
      <c r="AF28" s="265"/>
      <c r="AG28" s="265"/>
      <c r="AH28" s="265"/>
    </row>
    <row r="29" ht="15.75" customHeight="1">
      <c r="A29" s="307"/>
      <c r="B29" s="231"/>
      <c r="C29" s="228"/>
      <c r="D29" s="232" t="b">
        <v>1</v>
      </c>
      <c r="E29" s="214" t="s">
        <v>222</v>
      </c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198"/>
      <c r="S29" s="198"/>
      <c r="T29" s="198"/>
      <c r="U29" s="198"/>
      <c r="V29" s="199"/>
      <c r="W29" s="199"/>
      <c r="X29" s="199"/>
      <c r="Y29" s="199"/>
      <c r="Z29" s="199"/>
      <c r="AA29" s="199"/>
      <c r="AB29" s="265"/>
      <c r="AC29" s="265"/>
      <c r="AD29" s="265"/>
      <c r="AE29" s="265"/>
      <c r="AF29" s="265"/>
      <c r="AG29" s="265"/>
      <c r="AH29" s="265"/>
    </row>
    <row r="30" ht="15.75" customHeight="1">
      <c r="A30" s="307"/>
      <c r="B30" s="234"/>
      <c r="C30" s="235"/>
      <c r="D30" s="232" t="b">
        <v>0</v>
      </c>
      <c r="E30" s="274"/>
      <c r="F30" s="275" t="s">
        <v>222</v>
      </c>
      <c r="G30" s="209" t="s">
        <v>222</v>
      </c>
      <c r="H30" s="209" t="s">
        <v>222</v>
      </c>
      <c r="I30" s="209" t="s">
        <v>222</v>
      </c>
      <c r="J30" s="209" t="s">
        <v>222</v>
      </c>
      <c r="K30" s="209" t="s">
        <v>222</v>
      </c>
      <c r="L30" s="209" t="s">
        <v>222</v>
      </c>
      <c r="M30" s="275" t="s">
        <v>222</v>
      </c>
      <c r="N30" s="276"/>
      <c r="O30" s="276"/>
      <c r="P30" s="276"/>
      <c r="Q30" s="276"/>
      <c r="R30" s="198"/>
      <c r="S30" s="198"/>
      <c r="T30" s="198"/>
      <c r="U30" s="198"/>
      <c r="V30" s="199"/>
      <c r="W30" s="199"/>
      <c r="X30" s="199"/>
      <c r="Y30" s="199"/>
      <c r="Z30" s="199"/>
      <c r="AA30" s="199"/>
      <c r="AB30" s="265"/>
      <c r="AC30" s="265"/>
      <c r="AD30" s="265"/>
      <c r="AE30" s="265"/>
      <c r="AF30" s="265"/>
      <c r="AG30" s="265"/>
      <c r="AH30" s="265"/>
    </row>
    <row r="31" ht="15.75" customHeight="1">
      <c r="A31" s="307"/>
      <c r="B31" s="236" t="s">
        <v>240</v>
      </c>
      <c r="C31" s="277"/>
      <c r="D31" s="278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198"/>
      <c r="S31" s="198"/>
      <c r="T31" s="198"/>
      <c r="U31" s="198"/>
      <c r="V31" s="199"/>
      <c r="W31" s="199"/>
      <c r="X31" s="199"/>
      <c r="Y31" s="199"/>
      <c r="Z31" s="199"/>
      <c r="AA31" s="199"/>
      <c r="AB31" s="265"/>
      <c r="AC31" s="265"/>
      <c r="AD31" s="265"/>
      <c r="AE31" s="265"/>
      <c r="AF31" s="265"/>
      <c r="AG31" s="265"/>
      <c r="AH31" s="265"/>
    </row>
    <row r="32" ht="15.75" customHeight="1">
      <c r="A32" s="307"/>
      <c r="B32" s="237"/>
      <c r="C32" s="280"/>
      <c r="D32" s="281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198"/>
      <c r="S32" s="198"/>
      <c r="T32" s="198"/>
      <c r="U32" s="198"/>
      <c r="V32" s="199"/>
      <c r="W32" s="199"/>
      <c r="X32" s="199"/>
      <c r="Y32" s="199"/>
      <c r="Z32" s="199"/>
      <c r="AA32" s="199"/>
      <c r="AB32" s="265"/>
      <c r="AC32" s="265"/>
      <c r="AD32" s="265"/>
      <c r="AE32" s="265"/>
      <c r="AF32" s="265"/>
      <c r="AG32" s="265"/>
      <c r="AH32" s="265"/>
    </row>
    <row r="33" ht="15.75" customHeight="1">
      <c r="A33" s="307"/>
      <c r="B33" s="238"/>
      <c r="C33" s="16"/>
      <c r="D33" s="17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198"/>
      <c r="S33" s="198"/>
      <c r="T33" s="198"/>
      <c r="U33" s="198"/>
      <c r="V33" s="199"/>
      <c r="W33" s="199"/>
      <c r="X33" s="199"/>
      <c r="Y33" s="199"/>
      <c r="Z33" s="199"/>
      <c r="AA33" s="199"/>
      <c r="AB33" s="265"/>
      <c r="AC33" s="265"/>
      <c r="AD33" s="265"/>
      <c r="AE33" s="265"/>
      <c r="AF33" s="265"/>
      <c r="AG33" s="265"/>
      <c r="AH33" s="265"/>
    </row>
    <row r="34" ht="15.75" customHeight="1">
      <c r="A34" s="307"/>
      <c r="B34" s="227" t="s">
        <v>241</v>
      </c>
      <c r="C34" s="228"/>
      <c r="D34" s="22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198"/>
      <c r="S34" s="198"/>
      <c r="T34" s="198"/>
      <c r="U34" s="198"/>
      <c r="V34" s="199"/>
      <c r="W34" s="199"/>
      <c r="X34" s="199"/>
      <c r="Y34" s="199"/>
      <c r="Z34" s="199"/>
      <c r="AA34" s="199"/>
      <c r="AB34" s="265"/>
      <c r="AC34" s="265"/>
      <c r="AD34" s="265"/>
      <c r="AE34" s="265"/>
      <c r="AF34" s="265"/>
      <c r="AG34" s="265"/>
      <c r="AH34" s="265"/>
    </row>
    <row r="35" ht="21.75" customHeight="1">
      <c r="A35" s="308"/>
      <c r="B35" s="288"/>
      <c r="C35" s="309"/>
      <c r="D35" s="243" t="s">
        <v>359</v>
      </c>
      <c r="E35" s="209" t="s">
        <v>222</v>
      </c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198"/>
      <c r="S35" s="198"/>
      <c r="T35" s="198"/>
      <c r="U35" s="198"/>
      <c r="V35" s="199"/>
      <c r="W35" s="199"/>
      <c r="X35" s="199"/>
      <c r="Y35" s="199"/>
      <c r="Z35" s="199"/>
      <c r="AA35" s="199"/>
      <c r="AB35" s="265"/>
      <c r="AC35" s="265"/>
      <c r="AD35" s="265"/>
      <c r="AE35" s="265"/>
      <c r="AF35" s="265"/>
      <c r="AG35" s="265"/>
      <c r="AH35" s="265"/>
    </row>
    <row r="36" ht="21.75" customHeight="1">
      <c r="A36" s="310"/>
      <c r="B36" s="288"/>
      <c r="C36" s="309"/>
      <c r="D36" s="290" t="s">
        <v>360</v>
      </c>
      <c r="E36" s="209"/>
      <c r="F36" s="330" t="s">
        <v>222</v>
      </c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198"/>
      <c r="S36" s="198"/>
      <c r="T36" s="198"/>
      <c r="U36" s="198"/>
      <c r="V36" s="199"/>
      <c r="W36" s="199"/>
      <c r="X36" s="199"/>
      <c r="Y36" s="199"/>
      <c r="Z36" s="199"/>
      <c r="AA36" s="199"/>
      <c r="AB36" s="265"/>
      <c r="AC36" s="265"/>
      <c r="AD36" s="265"/>
      <c r="AE36" s="265"/>
      <c r="AF36" s="265"/>
      <c r="AG36" s="265"/>
      <c r="AH36" s="265"/>
    </row>
    <row r="37" ht="15.75" customHeight="1">
      <c r="A37" s="310"/>
      <c r="B37" s="283"/>
      <c r="C37" s="309"/>
      <c r="D37" s="290" t="s">
        <v>361</v>
      </c>
      <c r="E37" s="209"/>
      <c r="F37" s="209"/>
      <c r="G37" s="330" t="s">
        <v>222</v>
      </c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198"/>
      <c r="S37" s="198"/>
      <c r="T37" s="198"/>
      <c r="U37" s="198"/>
      <c r="V37" s="199"/>
      <c r="W37" s="199"/>
      <c r="X37" s="199"/>
      <c r="Y37" s="199"/>
      <c r="Z37" s="199"/>
      <c r="AA37" s="199"/>
      <c r="AB37" s="265"/>
      <c r="AC37" s="265"/>
      <c r="AD37" s="265"/>
      <c r="AE37" s="265"/>
      <c r="AF37" s="265"/>
      <c r="AG37" s="265"/>
      <c r="AH37" s="265"/>
    </row>
    <row r="38" ht="15.75" customHeight="1">
      <c r="A38" s="282"/>
      <c r="B38" s="327"/>
      <c r="C38" s="328"/>
      <c r="D38" s="329" t="s">
        <v>362</v>
      </c>
      <c r="E38" s="223"/>
      <c r="F38" s="223"/>
      <c r="G38" s="333"/>
      <c r="H38" s="333" t="s">
        <v>222</v>
      </c>
      <c r="I38" s="223"/>
      <c r="J38" s="223"/>
      <c r="K38" s="223"/>
      <c r="L38" s="209"/>
      <c r="M38" s="223"/>
      <c r="N38" s="223"/>
      <c r="O38" s="223"/>
      <c r="P38" s="223"/>
      <c r="Q38" s="223"/>
      <c r="R38" s="198"/>
      <c r="S38" s="198"/>
      <c r="T38" s="198"/>
      <c r="U38" s="198"/>
      <c r="V38" s="199"/>
      <c r="W38" s="199"/>
      <c r="X38" s="199"/>
      <c r="Y38" s="199"/>
      <c r="Z38" s="199"/>
      <c r="AA38" s="199"/>
      <c r="AB38" s="265"/>
      <c r="AC38" s="265"/>
      <c r="AD38" s="265"/>
      <c r="AE38" s="265"/>
      <c r="AF38" s="265"/>
      <c r="AG38" s="265"/>
      <c r="AH38" s="265"/>
    </row>
    <row r="39" ht="15.75" customHeight="1">
      <c r="A39" s="282"/>
      <c r="B39" s="327"/>
      <c r="C39" s="328"/>
      <c r="D39" s="329" t="s">
        <v>363</v>
      </c>
      <c r="E39" s="223"/>
      <c r="F39" s="223"/>
      <c r="G39" s="333"/>
      <c r="H39" s="223"/>
      <c r="I39" s="333" t="s">
        <v>222</v>
      </c>
      <c r="J39" s="223"/>
      <c r="K39" s="223"/>
      <c r="L39" s="209"/>
      <c r="M39" s="223"/>
      <c r="N39" s="223"/>
      <c r="O39" s="223"/>
      <c r="P39" s="223"/>
      <c r="Q39" s="223"/>
      <c r="R39" s="198"/>
      <c r="S39" s="198"/>
      <c r="T39" s="198"/>
      <c r="U39" s="198"/>
      <c r="V39" s="199"/>
      <c r="W39" s="199"/>
      <c r="X39" s="199"/>
      <c r="Y39" s="199"/>
      <c r="Z39" s="199"/>
      <c r="AA39" s="199"/>
      <c r="AB39" s="265"/>
      <c r="AC39" s="265"/>
      <c r="AD39" s="265"/>
      <c r="AE39" s="265"/>
      <c r="AF39" s="265"/>
      <c r="AG39" s="265"/>
      <c r="AH39" s="265"/>
    </row>
    <row r="40" ht="15.75" customHeight="1">
      <c r="A40" s="282"/>
      <c r="B40" s="327"/>
      <c r="C40" s="328"/>
      <c r="D40" s="329" t="s">
        <v>246</v>
      </c>
      <c r="E40" s="223"/>
      <c r="F40" s="223"/>
      <c r="G40" s="333"/>
      <c r="H40" s="223"/>
      <c r="I40" s="223"/>
      <c r="J40" s="223"/>
      <c r="K40" s="223"/>
      <c r="L40" s="330" t="s">
        <v>222</v>
      </c>
      <c r="M40" s="223"/>
      <c r="N40" s="223"/>
      <c r="O40" s="223"/>
      <c r="P40" s="223"/>
      <c r="Q40" s="223"/>
      <c r="R40" s="198"/>
      <c r="S40" s="198"/>
      <c r="T40" s="198"/>
      <c r="U40" s="198"/>
      <c r="V40" s="199"/>
      <c r="W40" s="199"/>
      <c r="X40" s="199"/>
      <c r="Y40" s="199"/>
      <c r="Z40" s="199"/>
      <c r="AA40" s="199"/>
      <c r="AB40" s="265"/>
      <c r="AC40" s="265"/>
      <c r="AD40" s="265"/>
      <c r="AE40" s="265"/>
      <c r="AF40" s="265"/>
      <c r="AG40" s="265"/>
      <c r="AH40" s="265"/>
    </row>
    <row r="41" ht="15.75" customHeight="1">
      <c r="A41" s="282"/>
      <c r="B41" s="327"/>
      <c r="C41" s="328"/>
      <c r="D41" s="329" t="s">
        <v>300</v>
      </c>
      <c r="E41" s="223"/>
      <c r="F41" s="223"/>
      <c r="G41" s="223"/>
      <c r="H41" s="223"/>
      <c r="I41" s="223"/>
      <c r="J41" s="333" t="s">
        <v>222</v>
      </c>
      <c r="K41" s="333" t="s">
        <v>222</v>
      </c>
      <c r="L41" s="209"/>
      <c r="M41" s="333" t="s">
        <v>222</v>
      </c>
      <c r="N41" s="223"/>
      <c r="O41" s="223"/>
      <c r="P41" s="223"/>
      <c r="Q41" s="223"/>
      <c r="R41" s="198"/>
      <c r="S41" s="198"/>
      <c r="T41" s="198"/>
      <c r="U41" s="198"/>
      <c r="V41" s="198"/>
      <c r="W41" s="199"/>
      <c r="X41" s="199"/>
      <c r="Y41" s="199"/>
      <c r="Z41" s="199"/>
      <c r="AA41" s="199"/>
      <c r="AB41" s="265"/>
      <c r="AC41" s="265"/>
      <c r="AD41" s="265"/>
      <c r="AE41" s="265"/>
      <c r="AF41" s="265"/>
      <c r="AG41" s="265"/>
      <c r="AH41" s="265"/>
    </row>
    <row r="42" ht="15.75" customHeight="1">
      <c r="A42" s="226" t="s">
        <v>249</v>
      </c>
      <c r="B42" s="245" t="s">
        <v>250</v>
      </c>
      <c r="C42" s="246"/>
      <c r="D42" s="247"/>
      <c r="E42" s="248" t="s">
        <v>167</v>
      </c>
      <c r="F42" s="248" t="s">
        <v>62</v>
      </c>
      <c r="G42" s="248" t="s">
        <v>62</v>
      </c>
      <c r="H42" s="248" t="s">
        <v>62</v>
      </c>
      <c r="I42" s="248" t="s">
        <v>62</v>
      </c>
      <c r="J42" s="248" t="s">
        <v>62</v>
      </c>
      <c r="K42" s="248" t="s">
        <v>62</v>
      </c>
      <c r="L42" s="248" t="s">
        <v>62</v>
      </c>
      <c r="M42" s="248" t="s">
        <v>62</v>
      </c>
      <c r="N42" s="248" t="s">
        <v>62</v>
      </c>
      <c r="O42" s="248" t="s">
        <v>168</v>
      </c>
      <c r="P42" s="248" t="s">
        <v>62</v>
      </c>
      <c r="Q42" s="248" t="s">
        <v>168</v>
      </c>
      <c r="R42" s="198"/>
      <c r="S42" s="198"/>
      <c r="T42" s="198"/>
      <c r="U42" s="198"/>
      <c r="V42" s="199"/>
      <c r="W42" s="198"/>
      <c r="X42" s="198"/>
      <c r="Y42" s="198"/>
      <c r="Z42" s="198"/>
      <c r="AA42" s="198"/>
      <c r="AB42" s="203"/>
      <c r="AC42" s="203"/>
      <c r="AD42" s="203"/>
      <c r="AE42" s="203"/>
      <c r="AF42" s="203"/>
      <c r="AG42" s="203"/>
      <c r="AH42" s="203"/>
    </row>
    <row r="43" ht="15.75" customHeight="1">
      <c r="A43" s="241"/>
      <c r="B43" s="249" t="s">
        <v>251</v>
      </c>
      <c r="C43" s="16"/>
      <c r="D43" s="17"/>
      <c r="E43" s="250" t="s">
        <v>252</v>
      </c>
      <c r="F43" s="250" t="s">
        <v>252</v>
      </c>
      <c r="G43" s="250" t="s">
        <v>252</v>
      </c>
      <c r="H43" s="250" t="s">
        <v>252</v>
      </c>
      <c r="I43" s="250" t="s">
        <v>252</v>
      </c>
      <c r="J43" s="250" t="s">
        <v>252</v>
      </c>
      <c r="K43" s="250" t="s">
        <v>252</v>
      </c>
      <c r="L43" s="250" t="s">
        <v>252</v>
      </c>
      <c r="M43" s="250" t="s">
        <v>252</v>
      </c>
      <c r="N43" s="250" t="s">
        <v>252</v>
      </c>
      <c r="O43" s="250" t="s">
        <v>252</v>
      </c>
      <c r="P43" s="250" t="s">
        <v>252</v>
      </c>
      <c r="Q43" s="250" t="s">
        <v>252</v>
      </c>
      <c r="R43" s="198"/>
      <c r="S43" s="198"/>
      <c r="T43" s="198"/>
      <c r="U43" s="198"/>
      <c r="V43" s="199"/>
      <c r="W43" s="198"/>
      <c r="X43" s="198"/>
      <c r="Y43" s="198"/>
      <c r="Z43" s="198"/>
      <c r="AA43" s="198"/>
      <c r="AB43" s="203"/>
      <c r="AC43" s="203"/>
      <c r="AD43" s="203"/>
      <c r="AE43" s="203"/>
      <c r="AF43" s="203"/>
      <c r="AG43" s="203"/>
      <c r="AH43" s="203"/>
    </row>
    <row r="44" ht="15.75" customHeight="1">
      <c r="A44" s="241"/>
      <c r="B44" s="251" t="s">
        <v>253</v>
      </c>
      <c r="C44" s="16"/>
      <c r="D44" s="17"/>
      <c r="E44" s="252">
        <v>45932.0</v>
      </c>
      <c r="F44" s="252">
        <v>45932.0</v>
      </c>
      <c r="G44" s="252">
        <v>45932.0</v>
      </c>
      <c r="H44" s="252">
        <v>45932.0</v>
      </c>
      <c r="I44" s="252">
        <v>45932.0</v>
      </c>
      <c r="J44" s="252">
        <v>45932.0</v>
      </c>
      <c r="K44" s="252">
        <v>45932.0</v>
      </c>
      <c r="L44" s="252">
        <v>45932.0</v>
      </c>
      <c r="M44" s="252">
        <v>45932.0</v>
      </c>
      <c r="N44" s="252">
        <v>45932.0</v>
      </c>
      <c r="O44" s="252">
        <v>45932.0</v>
      </c>
      <c r="P44" s="252">
        <v>45932.0</v>
      </c>
      <c r="Q44" s="252">
        <v>45932.0</v>
      </c>
      <c r="R44" s="198"/>
      <c r="S44" s="198"/>
      <c r="T44" s="198"/>
      <c r="U44" s="198"/>
      <c r="V44" s="199"/>
      <c r="W44" s="198"/>
      <c r="X44" s="198"/>
      <c r="Y44" s="198"/>
      <c r="Z44" s="198"/>
      <c r="AA44" s="198"/>
      <c r="AB44" s="203"/>
      <c r="AC44" s="203"/>
      <c r="AD44" s="203"/>
      <c r="AE44" s="203"/>
      <c r="AF44" s="203"/>
      <c r="AG44" s="203"/>
      <c r="AH44" s="203"/>
    </row>
    <row r="45" ht="74.25" customHeight="1">
      <c r="A45" s="253"/>
      <c r="B45" s="254" t="s">
        <v>254</v>
      </c>
      <c r="C45" s="255"/>
      <c r="D45" s="256"/>
      <c r="E45" s="257"/>
      <c r="F45" s="258"/>
      <c r="G45" s="259"/>
      <c r="H45" s="257"/>
      <c r="I45" s="257"/>
      <c r="J45" s="257"/>
      <c r="K45" s="257"/>
      <c r="L45" s="257"/>
      <c r="M45" s="257"/>
      <c r="N45" s="257"/>
      <c r="O45" s="257"/>
      <c r="P45" s="257"/>
      <c r="Q45" s="257"/>
      <c r="R45" s="198"/>
      <c r="S45" s="198"/>
      <c r="T45" s="198"/>
      <c r="U45" s="198"/>
      <c r="V45" s="199"/>
      <c r="W45" s="198"/>
      <c r="X45" s="198"/>
      <c r="Y45" s="198"/>
      <c r="Z45" s="198"/>
      <c r="AA45" s="198"/>
      <c r="AB45" s="203"/>
      <c r="AC45" s="203"/>
      <c r="AD45" s="203"/>
      <c r="AE45" s="203"/>
      <c r="AF45" s="203"/>
      <c r="AG45" s="203"/>
      <c r="AH45" s="203"/>
    </row>
    <row r="46" ht="15.75" customHeight="1">
      <c r="A46" s="198"/>
      <c r="B46" s="198"/>
      <c r="C46" s="198"/>
      <c r="D46" s="198"/>
      <c r="E46" s="198"/>
      <c r="F46" s="198"/>
      <c r="G46" s="199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9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</row>
    <row r="47" ht="15.75" customHeight="1">
      <c r="A47" s="198"/>
      <c r="B47" s="198"/>
      <c r="C47" s="198"/>
      <c r="D47" s="198"/>
      <c r="E47" s="198"/>
      <c r="F47" s="198"/>
      <c r="G47" s="199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9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</row>
    <row r="48" ht="15.75" customHeight="1">
      <c r="A48" s="198"/>
      <c r="B48" s="198"/>
      <c r="C48" s="198"/>
      <c r="D48" s="198"/>
      <c r="E48" s="198"/>
      <c r="F48" s="198"/>
      <c r="G48" s="199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9"/>
      <c r="W48" s="198"/>
      <c r="X48" s="198"/>
      <c r="Y48" s="198"/>
      <c r="Z48" s="198"/>
      <c r="AA48" s="198"/>
      <c r="AB48" s="198"/>
      <c r="AC48" s="198"/>
      <c r="AD48" s="198"/>
      <c r="AE48" s="198"/>
      <c r="AF48" s="198"/>
      <c r="AG48" s="198"/>
      <c r="AH48" s="198"/>
    </row>
    <row r="49" ht="15.75" customHeight="1">
      <c r="A49" s="198"/>
      <c r="B49" s="198"/>
      <c r="C49" s="198"/>
      <c r="D49" s="198"/>
      <c r="E49" s="198"/>
      <c r="F49" s="198"/>
      <c r="G49" s="199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9"/>
      <c r="W49" s="198"/>
      <c r="X49" s="198"/>
      <c r="Y49" s="198"/>
      <c r="Z49" s="198"/>
      <c r="AA49" s="198"/>
      <c r="AB49" s="198"/>
      <c r="AC49" s="198"/>
      <c r="AD49" s="198"/>
      <c r="AE49" s="198"/>
      <c r="AF49" s="198"/>
      <c r="AG49" s="198"/>
      <c r="AH49" s="198"/>
    </row>
    <row r="50" ht="15.75" customHeight="1">
      <c r="A50" s="198"/>
      <c r="B50" s="198"/>
      <c r="C50" s="198"/>
      <c r="D50" s="198"/>
      <c r="E50" s="198"/>
      <c r="F50" s="198"/>
      <c r="G50" s="199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9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</row>
    <row r="51" ht="15.75" customHeight="1">
      <c r="A51" s="198"/>
      <c r="B51" s="198"/>
      <c r="C51" s="198"/>
      <c r="D51" s="198"/>
      <c r="E51" s="198"/>
      <c r="F51" s="198"/>
      <c r="G51" s="199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9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</row>
    <row r="52" ht="15.75" customHeight="1">
      <c r="A52" s="198"/>
      <c r="B52" s="198"/>
      <c r="C52" s="198"/>
      <c r="D52" s="198"/>
      <c r="E52" s="198"/>
      <c r="F52" s="198"/>
      <c r="G52" s="199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9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</row>
    <row r="53" ht="15.75" customHeight="1">
      <c r="A53" s="198"/>
      <c r="B53" s="198"/>
      <c r="C53" s="198"/>
      <c r="D53" s="198"/>
      <c r="E53" s="198"/>
      <c r="F53" s="198"/>
      <c r="G53" s="199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9"/>
      <c r="W53" s="198"/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</row>
    <row r="54" ht="15.75" customHeight="1">
      <c r="A54" s="198"/>
      <c r="B54" s="198"/>
      <c r="C54" s="198"/>
      <c r="D54" s="198"/>
      <c r="E54" s="198"/>
      <c r="F54" s="198"/>
      <c r="G54" s="199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9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</row>
    <row r="55" ht="15.75" customHeight="1">
      <c r="A55" s="198"/>
      <c r="B55" s="198"/>
      <c r="C55" s="198"/>
      <c r="D55" s="198"/>
      <c r="E55" s="198"/>
      <c r="F55" s="198"/>
      <c r="G55" s="199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9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</row>
    <row r="56" ht="15.75" customHeight="1">
      <c r="A56" s="198"/>
      <c r="B56" s="198"/>
      <c r="C56" s="198"/>
      <c r="D56" s="198"/>
      <c r="E56" s="198"/>
      <c r="F56" s="198"/>
      <c r="G56" s="199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9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</row>
    <row r="57" ht="15.75" customHeight="1">
      <c r="A57" s="198"/>
      <c r="B57" s="198"/>
      <c r="C57" s="198"/>
      <c r="D57" s="198"/>
      <c r="E57" s="198"/>
      <c r="F57" s="198"/>
      <c r="G57" s="199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9"/>
      <c r="W57" s="198"/>
      <c r="X57" s="198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</row>
    <row r="58" ht="15.75" customHeight="1">
      <c r="A58" s="198"/>
      <c r="B58" s="198"/>
      <c r="C58" s="198"/>
      <c r="D58" s="198"/>
      <c r="E58" s="198"/>
      <c r="F58" s="198"/>
      <c r="G58" s="199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9"/>
      <c r="W58" s="198"/>
      <c r="X58" s="198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</row>
    <row r="59" ht="15.75" customHeight="1">
      <c r="A59" s="198"/>
      <c r="B59" s="198"/>
      <c r="C59" s="198"/>
      <c r="D59" s="198"/>
      <c r="E59" s="198"/>
      <c r="F59" s="198"/>
      <c r="G59" s="199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9"/>
      <c r="W59" s="198"/>
      <c r="X59" s="198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</row>
    <row r="60" ht="15.75" customHeight="1">
      <c r="A60" s="198"/>
      <c r="B60" s="198"/>
      <c r="C60" s="198"/>
      <c r="D60" s="198"/>
      <c r="E60" s="198"/>
      <c r="F60" s="198"/>
      <c r="G60" s="199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9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</row>
    <row r="61" ht="15.75" customHeight="1">
      <c r="A61" s="198"/>
      <c r="B61" s="198"/>
      <c r="C61" s="198"/>
      <c r="D61" s="198"/>
      <c r="E61" s="198"/>
      <c r="F61" s="198"/>
      <c r="G61" s="199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9"/>
      <c r="W61" s="198"/>
      <c r="X61" s="198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</row>
    <row r="62" ht="15.75" customHeight="1">
      <c r="A62" s="198"/>
      <c r="B62" s="198"/>
      <c r="C62" s="198"/>
      <c r="D62" s="198"/>
      <c r="E62" s="198"/>
      <c r="F62" s="198"/>
      <c r="G62" s="199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9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</row>
    <row r="63" ht="15.75" customHeight="1">
      <c r="A63" s="198"/>
      <c r="B63" s="198"/>
      <c r="C63" s="198"/>
      <c r="D63" s="198"/>
      <c r="E63" s="198"/>
      <c r="F63" s="198"/>
      <c r="G63" s="199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9"/>
      <c r="W63" s="198"/>
      <c r="X63" s="198"/>
      <c r="Y63" s="198"/>
      <c r="Z63" s="198"/>
      <c r="AA63" s="198"/>
      <c r="AB63" s="198"/>
      <c r="AC63" s="198"/>
      <c r="AD63" s="198"/>
      <c r="AE63" s="198"/>
      <c r="AF63" s="198"/>
      <c r="AG63" s="198"/>
      <c r="AH63" s="198"/>
    </row>
    <row r="64" ht="15.75" customHeight="1">
      <c r="A64" s="198"/>
      <c r="B64" s="198"/>
      <c r="C64" s="198"/>
      <c r="D64" s="198"/>
      <c r="E64" s="198"/>
      <c r="F64" s="198"/>
      <c r="G64" s="199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9"/>
      <c r="W64" s="198"/>
      <c r="X64" s="198"/>
      <c r="Y64" s="198"/>
      <c r="Z64" s="198"/>
      <c r="AA64" s="198"/>
      <c r="AB64" s="198"/>
      <c r="AC64" s="198"/>
      <c r="AD64" s="198"/>
      <c r="AE64" s="198"/>
      <c r="AF64" s="198"/>
      <c r="AG64" s="198"/>
      <c r="AH64" s="198"/>
    </row>
    <row r="65" ht="15.75" customHeight="1">
      <c r="A65" s="198"/>
      <c r="B65" s="198"/>
      <c r="C65" s="198"/>
      <c r="D65" s="198"/>
      <c r="E65" s="198"/>
      <c r="F65" s="198"/>
      <c r="G65" s="199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9"/>
      <c r="W65" s="198"/>
      <c r="X65" s="198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</row>
    <row r="66" ht="15.75" customHeight="1">
      <c r="A66" s="198"/>
      <c r="B66" s="198"/>
      <c r="C66" s="198"/>
      <c r="D66" s="198"/>
      <c r="E66" s="198"/>
      <c r="F66" s="198"/>
      <c r="G66" s="199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9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</row>
    <row r="67" ht="15.75" customHeight="1">
      <c r="A67" s="198"/>
      <c r="B67" s="198"/>
      <c r="C67" s="198"/>
      <c r="D67" s="198"/>
      <c r="E67" s="198"/>
      <c r="F67" s="198"/>
      <c r="G67" s="199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9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</row>
    <row r="68" ht="15.75" customHeight="1">
      <c r="A68" s="198"/>
      <c r="B68" s="198"/>
      <c r="C68" s="198"/>
      <c r="D68" s="198"/>
      <c r="E68" s="198"/>
      <c r="F68" s="198"/>
      <c r="G68" s="199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9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  <c r="AH68" s="198"/>
    </row>
    <row r="69" ht="15.75" customHeight="1">
      <c r="A69" s="198"/>
      <c r="B69" s="198"/>
      <c r="C69" s="198"/>
      <c r="D69" s="198"/>
      <c r="E69" s="198"/>
      <c r="F69" s="198"/>
      <c r="G69" s="199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9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</row>
    <row r="70" ht="15.75" customHeight="1">
      <c r="A70" s="198"/>
      <c r="B70" s="198"/>
      <c r="C70" s="198"/>
      <c r="D70" s="198"/>
      <c r="E70" s="198"/>
      <c r="F70" s="198"/>
      <c r="G70" s="199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9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</row>
    <row r="71" ht="15.75" customHeight="1">
      <c r="A71" s="198"/>
      <c r="B71" s="198"/>
      <c r="C71" s="198"/>
      <c r="D71" s="198"/>
      <c r="E71" s="198"/>
      <c r="F71" s="198"/>
      <c r="G71" s="199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</row>
    <row r="72" ht="15.75" customHeight="1">
      <c r="A72" s="198"/>
      <c r="B72" s="198"/>
      <c r="C72" s="198"/>
      <c r="D72" s="198"/>
      <c r="E72" s="198"/>
      <c r="F72" s="198"/>
      <c r="G72" s="199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9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</row>
    <row r="73" ht="15.75" customHeight="1">
      <c r="A73" s="198"/>
      <c r="B73" s="198"/>
      <c r="C73" s="198"/>
      <c r="D73" s="198"/>
      <c r="E73" s="198"/>
      <c r="F73" s="198"/>
      <c r="G73" s="199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9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</row>
    <row r="74" ht="15.75" customHeight="1">
      <c r="A74" s="198"/>
      <c r="B74" s="198"/>
      <c r="C74" s="198"/>
      <c r="D74" s="198"/>
      <c r="E74" s="198"/>
      <c r="F74" s="198"/>
      <c r="G74" s="199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9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</row>
    <row r="75" ht="15.75" customHeight="1">
      <c r="A75" s="198"/>
      <c r="B75" s="198"/>
      <c r="C75" s="198"/>
      <c r="D75" s="198"/>
      <c r="E75" s="198"/>
      <c r="F75" s="198"/>
      <c r="G75" s="199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9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</row>
    <row r="76" ht="15.75" customHeight="1">
      <c r="A76" s="198"/>
      <c r="B76" s="198"/>
      <c r="C76" s="198"/>
      <c r="D76" s="198"/>
      <c r="E76" s="198"/>
      <c r="F76" s="198"/>
      <c r="G76" s="199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9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</row>
    <row r="77" ht="15.75" customHeight="1">
      <c r="A77" s="198"/>
      <c r="B77" s="198"/>
      <c r="C77" s="198"/>
      <c r="D77" s="198"/>
      <c r="E77" s="198"/>
      <c r="F77" s="198"/>
      <c r="G77" s="199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9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</row>
    <row r="78" ht="15.75" customHeight="1">
      <c r="A78" s="198"/>
      <c r="B78" s="198"/>
      <c r="C78" s="198"/>
      <c r="D78" s="198"/>
      <c r="E78" s="198"/>
      <c r="F78" s="198"/>
      <c r="G78" s="199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9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</row>
    <row r="79" ht="15.75" customHeight="1">
      <c r="A79" s="198"/>
      <c r="B79" s="198"/>
      <c r="C79" s="198"/>
      <c r="D79" s="198"/>
      <c r="E79" s="198"/>
      <c r="F79" s="198"/>
      <c r="G79" s="199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9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</row>
    <row r="80" ht="15.75" customHeight="1">
      <c r="A80" s="198"/>
      <c r="B80" s="198"/>
      <c r="C80" s="198"/>
      <c r="D80" s="198"/>
      <c r="E80" s="198"/>
      <c r="F80" s="198"/>
      <c r="G80" s="199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9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</row>
    <row r="81" ht="15.75" customHeight="1">
      <c r="A81" s="198"/>
      <c r="B81" s="198"/>
      <c r="C81" s="198"/>
      <c r="D81" s="198"/>
      <c r="E81" s="198"/>
      <c r="F81" s="198"/>
      <c r="G81" s="199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9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</row>
    <row r="82" ht="15.75" customHeight="1">
      <c r="A82" s="198"/>
      <c r="B82" s="198"/>
      <c r="C82" s="198"/>
      <c r="D82" s="198"/>
      <c r="E82" s="198"/>
      <c r="F82" s="198"/>
      <c r="G82" s="199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9"/>
      <c r="W82" s="198"/>
      <c r="X82" s="198"/>
      <c r="Y82" s="198"/>
      <c r="Z82" s="198"/>
      <c r="AA82" s="198"/>
      <c r="AB82" s="198"/>
      <c r="AC82" s="198"/>
      <c r="AD82" s="198"/>
      <c r="AE82" s="198"/>
      <c r="AF82" s="198"/>
      <c r="AG82" s="198"/>
      <c r="AH82" s="198"/>
    </row>
    <row r="83" ht="15.75" customHeight="1">
      <c r="A83" s="198"/>
      <c r="B83" s="198"/>
      <c r="C83" s="198"/>
      <c r="D83" s="198"/>
      <c r="E83" s="198"/>
      <c r="F83" s="198"/>
      <c r="G83" s="199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9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</row>
    <row r="84" ht="15.75" customHeight="1">
      <c r="A84" s="198"/>
      <c r="B84" s="198"/>
      <c r="C84" s="198"/>
      <c r="D84" s="198"/>
      <c r="E84" s="198"/>
      <c r="F84" s="198"/>
      <c r="G84" s="199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9"/>
      <c r="W84" s="198"/>
      <c r="X84" s="198"/>
      <c r="Y84" s="198"/>
      <c r="Z84" s="198"/>
      <c r="AA84" s="198"/>
      <c r="AB84" s="198"/>
      <c r="AC84" s="198"/>
      <c r="AD84" s="198"/>
      <c r="AE84" s="198"/>
      <c r="AF84" s="198"/>
      <c r="AG84" s="198"/>
      <c r="AH84" s="198"/>
    </row>
    <row r="85" ht="15.75" customHeight="1">
      <c r="A85" s="198"/>
      <c r="B85" s="198"/>
      <c r="C85" s="198"/>
      <c r="D85" s="198"/>
      <c r="E85" s="198"/>
      <c r="F85" s="198"/>
      <c r="G85" s="199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9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198"/>
      <c r="AH85" s="198"/>
    </row>
    <row r="86" ht="15.75" customHeight="1">
      <c r="A86" s="198"/>
      <c r="B86" s="198"/>
      <c r="C86" s="198"/>
      <c r="D86" s="198"/>
      <c r="E86" s="198"/>
      <c r="F86" s="198"/>
      <c r="G86" s="199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9"/>
      <c r="W86" s="198"/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</row>
    <row r="87" ht="15.75" customHeight="1">
      <c r="A87" s="198"/>
      <c r="B87" s="198"/>
      <c r="C87" s="198"/>
      <c r="D87" s="198"/>
      <c r="E87" s="198"/>
      <c r="F87" s="198"/>
      <c r="G87" s="199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9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198"/>
    </row>
    <row r="88" ht="15.75" customHeight="1">
      <c r="A88" s="198"/>
      <c r="B88" s="198"/>
      <c r="C88" s="198"/>
      <c r="D88" s="198"/>
      <c r="E88" s="198"/>
      <c r="F88" s="198"/>
      <c r="G88" s="199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9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198"/>
    </row>
    <row r="89" ht="15.75" customHeight="1">
      <c r="A89" s="198"/>
      <c r="B89" s="198"/>
      <c r="C89" s="198"/>
      <c r="D89" s="198"/>
      <c r="E89" s="198"/>
      <c r="F89" s="198"/>
      <c r="G89" s="199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9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</row>
    <row r="90" ht="15.75" customHeight="1">
      <c r="A90" s="198"/>
      <c r="B90" s="198"/>
      <c r="C90" s="198"/>
      <c r="D90" s="198"/>
      <c r="E90" s="198"/>
      <c r="F90" s="198"/>
      <c r="G90" s="199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9"/>
      <c r="W90" s="198"/>
      <c r="X90" s="198"/>
      <c r="Y90" s="198"/>
      <c r="Z90" s="198"/>
      <c r="AA90" s="198"/>
      <c r="AB90" s="198"/>
      <c r="AC90" s="198"/>
      <c r="AD90" s="198"/>
      <c r="AE90" s="198"/>
      <c r="AF90" s="198"/>
      <c r="AG90" s="198"/>
      <c r="AH90" s="198"/>
    </row>
    <row r="91" ht="15.75" customHeight="1">
      <c r="A91" s="198"/>
      <c r="B91" s="198"/>
      <c r="C91" s="198"/>
      <c r="D91" s="198"/>
      <c r="E91" s="198"/>
      <c r="F91" s="198"/>
      <c r="G91" s="199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9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198"/>
    </row>
    <row r="92" ht="15.75" customHeight="1">
      <c r="A92" s="198"/>
      <c r="B92" s="198"/>
      <c r="C92" s="198"/>
      <c r="D92" s="198"/>
      <c r="E92" s="198"/>
      <c r="F92" s="198"/>
      <c r="G92" s="199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9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198"/>
    </row>
    <row r="93" ht="15.75" customHeight="1">
      <c r="A93" s="198"/>
      <c r="B93" s="198"/>
      <c r="C93" s="198"/>
      <c r="D93" s="198"/>
      <c r="E93" s="198"/>
      <c r="F93" s="198"/>
      <c r="G93" s="199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9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198"/>
      <c r="AH93" s="198"/>
    </row>
    <row r="94" ht="15.75" customHeight="1">
      <c r="A94" s="198"/>
      <c r="B94" s="198"/>
      <c r="C94" s="198"/>
      <c r="D94" s="198"/>
      <c r="E94" s="198"/>
      <c r="F94" s="198"/>
      <c r="G94" s="199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9"/>
      <c r="W94" s="198"/>
      <c r="X94" s="198"/>
      <c r="Y94" s="198"/>
      <c r="Z94" s="198"/>
      <c r="AA94" s="198"/>
      <c r="AB94" s="198"/>
      <c r="AC94" s="198"/>
      <c r="AD94" s="198"/>
      <c r="AE94" s="198"/>
      <c r="AF94" s="198"/>
      <c r="AG94" s="198"/>
      <c r="AH94" s="198"/>
    </row>
    <row r="95" ht="15.75" customHeight="1">
      <c r="A95" s="198"/>
      <c r="B95" s="198"/>
      <c r="C95" s="198"/>
      <c r="D95" s="198"/>
      <c r="E95" s="198"/>
      <c r="F95" s="198"/>
      <c r="G95" s="199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9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</row>
    <row r="96" ht="15.75" customHeight="1">
      <c r="A96" s="198"/>
      <c r="B96" s="198"/>
      <c r="C96" s="198"/>
      <c r="D96" s="198"/>
      <c r="E96" s="198"/>
      <c r="F96" s="198"/>
      <c r="G96" s="199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9"/>
      <c r="W96" s="198"/>
      <c r="X96" s="198"/>
      <c r="Y96" s="198"/>
      <c r="Z96" s="198"/>
      <c r="AA96" s="198"/>
      <c r="AB96" s="198"/>
      <c r="AC96" s="198"/>
      <c r="AD96" s="198"/>
      <c r="AE96" s="198"/>
      <c r="AF96" s="198"/>
      <c r="AG96" s="198"/>
      <c r="AH96" s="198"/>
    </row>
    <row r="97" ht="15.75" customHeight="1">
      <c r="A97" s="198"/>
      <c r="B97" s="198"/>
      <c r="C97" s="198"/>
      <c r="D97" s="198"/>
      <c r="E97" s="198"/>
      <c r="F97" s="198"/>
      <c r="G97" s="199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9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</row>
    <row r="98" ht="15.75" customHeight="1">
      <c r="A98" s="198"/>
      <c r="B98" s="198"/>
      <c r="C98" s="198"/>
      <c r="D98" s="198"/>
      <c r="E98" s="198"/>
      <c r="F98" s="198"/>
      <c r="G98" s="199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9"/>
      <c r="W98" s="198"/>
      <c r="X98" s="198"/>
      <c r="Y98" s="198"/>
      <c r="Z98" s="198"/>
      <c r="AA98" s="198"/>
      <c r="AB98" s="198"/>
      <c r="AC98" s="198"/>
      <c r="AD98" s="198"/>
      <c r="AE98" s="198"/>
      <c r="AF98" s="198"/>
      <c r="AG98" s="198"/>
      <c r="AH98" s="198"/>
    </row>
    <row r="99" ht="15.75" customHeight="1">
      <c r="A99" s="198"/>
      <c r="B99" s="198"/>
      <c r="C99" s="198"/>
      <c r="D99" s="198"/>
      <c r="E99" s="198"/>
      <c r="F99" s="198"/>
      <c r="G99" s="199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9"/>
      <c r="W99" s="198"/>
      <c r="X99" s="198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</row>
    <row r="100" ht="15.75" customHeight="1">
      <c r="A100" s="198"/>
      <c r="B100" s="198"/>
      <c r="C100" s="198"/>
      <c r="D100" s="198"/>
      <c r="E100" s="198"/>
      <c r="F100" s="198"/>
      <c r="G100" s="199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9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</row>
    <row r="101" ht="15.75" customHeight="1">
      <c r="A101" s="198"/>
      <c r="B101" s="198"/>
      <c r="C101" s="198"/>
      <c r="D101" s="198"/>
      <c r="E101" s="198"/>
      <c r="F101" s="198"/>
      <c r="G101" s="199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9"/>
      <c r="W101" s="198"/>
      <c r="X101" s="198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</row>
    <row r="102" ht="15.75" customHeight="1">
      <c r="A102" s="198"/>
      <c r="B102" s="198"/>
      <c r="C102" s="198"/>
      <c r="D102" s="198"/>
      <c r="E102" s="198"/>
      <c r="F102" s="198"/>
      <c r="G102" s="199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9"/>
      <c r="W102" s="198"/>
      <c r="X102" s="198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</row>
    <row r="103" ht="15.75" customHeight="1">
      <c r="A103" s="198"/>
      <c r="B103" s="198"/>
      <c r="C103" s="198"/>
      <c r="D103" s="198"/>
      <c r="E103" s="198"/>
      <c r="F103" s="198"/>
      <c r="G103" s="199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9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</row>
    <row r="104" ht="15.75" customHeight="1">
      <c r="A104" s="198"/>
      <c r="B104" s="198"/>
      <c r="C104" s="198"/>
      <c r="D104" s="198"/>
      <c r="E104" s="198"/>
      <c r="F104" s="198"/>
      <c r="G104" s="199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9"/>
      <c r="W104" s="198"/>
      <c r="X104" s="198"/>
      <c r="Y104" s="198"/>
      <c r="Z104" s="198"/>
      <c r="AA104" s="198"/>
      <c r="AB104" s="198"/>
      <c r="AC104" s="198"/>
      <c r="AD104" s="198"/>
      <c r="AE104" s="198"/>
      <c r="AF104" s="198"/>
      <c r="AG104" s="198"/>
      <c r="AH104" s="198"/>
    </row>
    <row r="105" ht="15.75" customHeight="1">
      <c r="A105" s="198"/>
      <c r="B105" s="198"/>
      <c r="C105" s="198"/>
      <c r="D105" s="198"/>
      <c r="E105" s="198"/>
      <c r="F105" s="198"/>
      <c r="G105" s="199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9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</row>
    <row r="106" ht="15.75" customHeight="1">
      <c r="A106" s="198"/>
      <c r="B106" s="198"/>
      <c r="C106" s="198"/>
      <c r="D106" s="198"/>
      <c r="E106" s="198"/>
      <c r="F106" s="198"/>
      <c r="G106" s="199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9"/>
      <c r="W106" s="198"/>
      <c r="X106" s="198"/>
      <c r="Y106" s="198"/>
      <c r="Z106" s="198"/>
      <c r="AA106" s="198"/>
      <c r="AB106" s="198"/>
      <c r="AC106" s="198"/>
      <c r="AD106" s="198"/>
      <c r="AE106" s="198"/>
      <c r="AF106" s="198"/>
      <c r="AG106" s="198"/>
      <c r="AH106" s="198"/>
    </row>
    <row r="107" ht="15.75" customHeight="1">
      <c r="A107" s="198"/>
      <c r="B107" s="198"/>
      <c r="C107" s="198"/>
      <c r="D107" s="198"/>
      <c r="E107" s="198"/>
      <c r="F107" s="198"/>
      <c r="G107" s="199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9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  <c r="AH107" s="198"/>
    </row>
    <row r="108" ht="15.75" customHeight="1">
      <c r="A108" s="198"/>
      <c r="B108" s="198"/>
      <c r="C108" s="198"/>
      <c r="D108" s="198"/>
      <c r="E108" s="198"/>
      <c r="F108" s="198"/>
      <c r="G108" s="199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9"/>
      <c r="W108" s="198"/>
      <c r="X108" s="198"/>
      <c r="Y108" s="198"/>
      <c r="Z108" s="198"/>
      <c r="AA108" s="198"/>
      <c r="AB108" s="198"/>
      <c r="AC108" s="198"/>
      <c r="AD108" s="198"/>
      <c r="AE108" s="198"/>
      <c r="AF108" s="198"/>
      <c r="AG108" s="198"/>
      <c r="AH108" s="198"/>
    </row>
    <row r="109" ht="15.75" customHeight="1">
      <c r="A109" s="198"/>
      <c r="B109" s="198"/>
      <c r="C109" s="198"/>
      <c r="D109" s="198"/>
      <c r="E109" s="198"/>
      <c r="F109" s="198"/>
      <c r="G109" s="199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9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198"/>
    </row>
    <row r="110" ht="15.75" customHeight="1">
      <c r="A110" s="198"/>
      <c r="B110" s="198"/>
      <c r="C110" s="198"/>
      <c r="D110" s="198"/>
      <c r="E110" s="198"/>
      <c r="F110" s="198"/>
      <c r="G110" s="199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9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198"/>
    </row>
    <row r="111" ht="15.75" customHeight="1">
      <c r="A111" s="198"/>
      <c r="B111" s="198"/>
      <c r="C111" s="198"/>
      <c r="D111" s="198"/>
      <c r="E111" s="198"/>
      <c r="F111" s="198"/>
      <c r="G111" s="199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9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</row>
    <row r="112" ht="15.75" customHeight="1">
      <c r="A112" s="198"/>
      <c r="B112" s="198"/>
      <c r="C112" s="198"/>
      <c r="D112" s="198"/>
      <c r="E112" s="198"/>
      <c r="F112" s="198"/>
      <c r="G112" s="199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9"/>
      <c r="W112" s="198"/>
      <c r="X112" s="198"/>
      <c r="Y112" s="198"/>
      <c r="Z112" s="198"/>
      <c r="AA112" s="198"/>
      <c r="AB112" s="198"/>
      <c r="AC112" s="198"/>
      <c r="AD112" s="198"/>
      <c r="AE112" s="198"/>
      <c r="AF112" s="198"/>
      <c r="AG112" s="198"/>
      <c r="AH112" s="198"/>
    </row>
    <row r="113" ht="15.75" customHeight="1">
      <c r="A113" s="198"/>
      <c r="B113" s="198"/>
      <c r="C113" s="198"/>
      <c r="D113" s="198"/>
      <c r="E113" s="198"/>
      <c r="F113" s="198"/>
      <c r="G113" s="199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9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</row>
    <row r="114" ht="15.75" customHeight="1">
      <c r="A114" s="198"/>
      <c r="B114" s="198"/>
      <c r="C114" s="198"/>
      <c r="D114" s="198"/>
      <c r="E114" s="198"/>
      <c r="F114" s="198"/>
      <c r="G114" s="199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9"/>
      <c r="W114" s="198"/>
      <c r="X114" s="198"/>
      <c r="Y114" s="198"/>
      <c r="Z114" s="198"/>
      <c r="AA114" s="198"/>
      <c r="AB114" s="198"/>
      <c r="AC114" s="198"/>
      <c r="AD114" s="198"/>
      <c r="AE114" s="198"/>
      <c r="AF114" s="198"/>
      <c r="AG114" s="198"/>
      <c r="AH114" s="198"/>
    </row>
    <row r="115" ht="15.75" customHeight="1">
      <c r="A115" s="198"/>
      <c r="B115" s="198"/>
      <c r="C115" s="198"/>
      <c r="D115" s="198"/>
      <c r="E115" s="198"/>
      <c r="F115" s="198"/>
      <c r="G115" s="199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9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</row>
    <row r="116" ht="15.75" customHeight="1">
      <c r="A116" s="198"/>
      <c r="B116" s="198"/>
      <c r="C116" s="198"/>
      <c r="D116" s="198"/>
      <c r="E116" s="198"/>
      <c r="F116" s="198"/>
      <c r="G116" s="199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9"/>
      <c r="W116" s="198"/>
      <c r="X116" s="198"/>
      <c r="Y116" s="198"/>
      <c r="Z116" s="198"/>
      <c r="AA116" s="198"/>
      <c r="AB116" s="198"/>
      <c r="AC116" s="198"/>
      <c r="AD116" s="198"/>
      <c r="AE116" s="198"/>
      <c r="AF116" s="198"/>
      <c r="AG116" s="198"/>
      <c r="AH116" s="198"/>
    </row>
    <row r="117" ht="15.75" customHeight="1">
      <c r="A117" s="198"/>
      <c r="B117" s="198"/>
      <c r="C117" s="198"/>
      <c r="D117" s="198"/>
      <c r="E117" s="198"/>
      <c r="F117" s="198"/>
      <c r="G117" s="199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</row>
    <row r="118" ht="15.75" customHeight="1">
      <c r="A118" s="198"/>
      <c r="B118" s="198"/>
      <c r="C118" s="198"/>
      <c r="D118" s="198"/>
      <c r="E118" s="198"/>
      <c r="F118" s="198"/>
      <c r="G118" s="199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9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8"/>
      <c r="AH118" s="198"/>
    </row>
    <row r="119" ht="15.75" customHeight="1">
      <c r="A119" s="198"/>
      <c r="B119" s="198"/>
      <c r="C119" s="198"/>
      <c r="D119" s="198"/>
      <c r="E119" s="198"/>
      <c r="F119" s="198"/>
      <c r="G119" s="199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</row>
    <row r="120" ht="15.75" customHeight="1">
      <c r="A120" s="198"/>
      <c r="B120" s="198"/>
      <c r="C120" s="198"/>
      <c r="D120" s="198"/>
      <c r="E120" s="198"/>
      <c r="F120" s="198"/>
      <c r="G120" s="199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9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8"/>
      <c r="AH120" s="198"/>
    </row>
    <row r="121" ht="15.75" customHeight="1">
      <c r="A121" s="198"/>
      <c r="B121" s="198"/>
      <c r="C121" s="198"/>
      <c r="D121" s="198"/>
      <c r="E121" s="198"/>
      <c r="F121" s="198"/>
      <c r="G121" s="199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9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</row>
    <row r="122" ht="15.75" customHeight="1">
      <c r="A122" s="198"/>
      <c r="B122" s="198"/>
      <c r="C122" s="198"/>
      <c r="D122" s="198"/>
      <c r="E122" s="198"/>
      <c r="F122" s="198"/>
      <c r="G122" s="199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9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198"/>
    </row>
    <row r="123" ht="15.75" customHeight="1">
      <c r="A123" s="198"/>
      <c r="B123" s="198"/>
      <c r="C123" s="198"/>
      <c r="D123" s="198"/>
      <c r="E123" s="198"/>
      <c r="F123" s="198"/>
      <c r="G123" s="199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9"/>
      <c r="W123" s="198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8"/>
      <c r="AH123" s="198"/>
    </row>
    <row r="124" ht="15.75" customHeight="1">
      <c r="A124" s="198"/>
      <c r="B124" s="198"/>
      <c r="C124" s="198"/>
      <c r="D124" s="198"/>
      <c r="E124" s="198"/>
      <c r="F124" s="198"/>
      <c r="G124" s="199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9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8"/>
      <c r="AH124" s="198"/>
    </row>
    <row r="125" ht="15.75" customHeight="1">
      <c r="A125" s="198"/>
      <c r="B125" s="198"/>
      <c r="C125" s="198"/>
      <c r="D125" s="198"/>
      <c r="E125" s="198"/>
      <c r="F125" s="198"/>
      <c r="G125" s="199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9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8"/>
      <c r="AH125" s="198"/>
    </row>
    <row r="126" ht="15.75" customHeight="1">
      <c r="A126" s="198"/>
      <c r="B126" s="198"/>
      <c r="C126" s="198"/>
      <c r="D126" s="198"/>
      <c r="E126" s="198"/>
      <c r="F126" s="198"/>
      <c r="G126" s="199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9"/>
      <c r="W126" s="198"/>
      <c r="X126" s="198"/>
      <c r="Y126" s="198"/>
      <c r="Z126" s="198"/>
      <c r="AA126" s="198"/>
      <c r="AB126" s="198"/>
      <c r="AC126" s="198"/>
      <c r="AD126" s="198"/>
      <c r="AE126" s="198"/>
      <c r="AF126" s="198"/>
      <c r="AG126" s="198"/>
      <c r="AH126" s="198"/>
    </row>
    <row r="127" ht="15.75" customHeight="1">
      <c r="A127" s="198"/>
      <c r="B127" s="198"/>
      <c r="C127" s="198"/>
      <c r="D127" s="198"/>
      <c r="E127" s="198"/>
      <c r="F127" s="198"/>
      <c r="G127" s="199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9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</row>
    <row r="128" ht="15.75" customHeight="1">
      <c r="A128" s="198"/>
      <c r="B128" s="198"/>
      <c r="C128" s="198"/>
      <c r="D128" s="198"/>
      <c r="E128" s="198"/>
      <c r="F128" s="198"/>
      <c r="G128" s="199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9"/>
      <c r="W128" s="198"/>
      <c r="X128" s="198"/>
      <c r="Y128" s="198"/>
      <c r="Z128" s="198"/>
      <c r="AA128" s="198"/>
      <c r="AB128" s="198"/>
      <c r="AC128" s="198"/>
      <c r="AD128" s="198"/>
      <c r="AE128" s="198"/>
      <c r="AF128" s="198"/>
      <c r="AG128" s="198"/>
      <c r="AH128" s="198"/>
    </row>
    <row r="129" ht="15.75" customHeight="1">
      <c r="A129" s="198"/>
      <c r="B129" s="198"/>
      <c r="C129" s="198"/>
      <c r="D129" s="198"/>
      <c r="E129" s="198"/>
      <c r="F129" s="198"/>
      <c r="G129" s="199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9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</row>
    <row r="130" ht="15.75" customHeight="1">
      <c r="A130" s="198"/>
      <c r="B130" s="198"/>
      <c r="C130" s="198"/>
      <c r="D130" s="198"/>
      <c r="E130" s="198"/>
      <c r="F130" s="198"/>
      <c r="G130" s="199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9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198"/>
    </row>
    <row r="131" ht="15.75" customHeight="1">
      <c r="A131" s="198"/>
      <c r="B131" s="198"/>
      <c r="C131" s="198"/>
      <c r="D131" s="198"/>
      <c r="E131" s="198"/>
      <c r="F131" s="198"/>
      <c r="G131" s="199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9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198"/>
    </row>
    <row r="132" ht="15.75" customHeight="1">
      <c r="A132" s="198"/>
      <c r="B132" s="198"/>
      <c r="C132" s="198"/>
      <c r="D132" s="198"/>
      <c r="E132" s="198"/>
      <c r="F132" s="198"/>
      <c r="G132" s="199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9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</row>
    <row r="133" ht="15.75" customHeight="1">
      <c r="A133" s="198"/>
      <c r="B133" s="198"/>
      <c r="C133" s="198"/>
      <c r="D133" s="198"/>
      <c r="E133" s="198"/>
      <c r="F133" s="198"/>
      <c r="G133" s="199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9"/>
      <c r="W133" s="198"/>
      <c r="X133" s="198"/>
      <c r="Y133" s="198"/>
      <c r="Z133" s="198"/>
      <c r="AA133" s="198"/>
      <c r="AB133" s="198"/>
      <c r="AC133" s="198"/>
      <c r="AD133" s="198"/>
      <c r="AE133" s="198"/>
      <c r="AF133" s="198"/>
      <c r="AG133" s="198"/>
      <c r="AH133" s="198"/>
    </row>
    <row r="134" ht="15.75" customHeight="1">
      <c r="A134" s="198"/>
      <c r="B134" s="198"/>
      <c r="C134" s="198"/>
      <c r="D134" s="198"/>
      <c r="E134" s="198"/>
      <c r="F134" s="198"/>
      <c r="G134" s="199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9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</row>
    <row r="135" ht="15.75" customHeight="1">
      <c r="A135" s="198"/>
      <c r="B135" s="198"/>
      <c r="C135" s="198"/>
      <c r="D135" s="198"/>
      <c r="E135" s="198"/>
      <c r="F135" s="198"/>
      <c r="G135" s="199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9"/>
      <c r="W135" s="198"/>
      <c r="X135" s="198"/>
      <c r="Y135" s="198"/>
      <c r="Z135" s="198"/>
      <c r="AA135" s="198"/>
      <c r="AB135" s="198"/>
      <c r="AC135" s="198"/>
      <c r="AD135" s="198"/>
      <c r="AE135" s="198"/>
      <c r="AF135" s="198"/>
      <c r="AG135" s="198"/>
      <c r="AH135" s="198"/>
    </row>
    <row r="136" ht="15.75" customHeight="1">
      <c r="A136" s="198"/>
      <c r="B136" s="198"/>
      <c r="C136" s="198"/>
      <c r="D136" s="198"/>
      <c r="E136" s="198"/>
      <c r="F136" s="198"/>
      <c r="G136" s="199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9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</row>
    <row r="137" ht="15.75" customHeight="1">
      <c r="A137" s="198"/>
      <c r="B137" s="198"/>
      <c r="C137" s="198"/>
      <c r="D137" s="198"/>
      <c r="E137" s="198"/>
      <c r="F137" s="198"/>
      <c r="G137" s="199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9"/>
      <c r="W137" s="198"/>
      <c r="X137" s="198"/>
      <c r="Y137" s="198"/>
      <c r="Z137" s="198"/>
      <c r="AA137" s="198"/>
      <c r="AB137" s="198"/>
      <c r="AC137" s="198"/>
      <c r="AD137" s="198"/>
      <c r="AE137" s="198"/>
      <c r="AF137" s="198"/>
      <c r="AG137" s="198"/>
      <c r="AH137" s="198"/>
    </row>
    <row r="138" ht="15.75" customHeight="1">
      <c r="A138" s="198"/>
      <c r="B138" s="198"/>
      <c r="C138" s="198"/>
      <c r="D138" s="198"/>
      <c r="E138" s="198"/>
      <c r="F138" s="198"/>
      <c r="G138" s="199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9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</row>
    <row r="139" ht="15.75" customHeight="1">
      <c r="A139" s="198"/>
      <c r="B139" s="198"/>
      <c r="C139" s="198"/>
      <c r="D139" s="198"/>
      <c r="E139" s="198"/>
      <c r="F139" s="198"/>
      <c r="G139" s="199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9"/>
      <c r="W139" s="198"/>
      <c r="X139" s="198"/>
      <c r="Y139" s="198"/>
      <c r="Z139" s="198"/>
      <c r="AA139" s="198"/>
      <c r="AB139" s="198"/>
      <c r="AC139" s="198"/>
      <c r="AD139" s="198"/>
      <c r="AE139" s="198"/>
      <c r="AF139" s="198"/>
      <c r="AG139" s="198"/>
      <c r="AH139" s="198"/>
    </row>
    <row r="140" ht="15.75" customHeight="1">
      <c r="A140" s="198"/>
      <c r="B140" s="198"/>
      <c r="C140" s="198"/>
      <c r="D140" s="198"/>
      <c r="E140" s="198"/>
      <c r="F140" s="198"/>
      <c r="G140" s="199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9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</row>
    <row r="141" ht="15.75" customHeight="1">
      <c r="A141" s="198"/>
      <c r="B141" s="198"/>
      <c r="C141" s="198"/>
      <c r="D141" s="198"/>
      <c r="E141" s="198"/>
      <c r="F141" s="198"/>
      <c r="G141" s="199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9"/>
      <c r="W141" s="198"/>
      <c r="X141" s="198"/>
      <c r="Y141" s="198"/>
      <c r="Z141" s="198"/>
      <c r="AA141" s="198"/>
      <c r="AB141" s="198"/>
      <c r="AC141" s="198"/>
      <c r="AD141" s="198"/>
      <c r="AE141" s="198"/>
      <c r="AF141" s="198"/>
      <c r="AG141" s="198"/>
      <c r="AH141" s="198"/>
    </row>
    <row r="142" ht="15.75" customHeight="1">
      <c r="A142" s="198"/>
      <c r="B142" s="198"/>
      <c r="C142" s="198"/>
      <c r="D142" s="198"/>
      <c r="E142" s="198"/>
      <c r="F142" s="198"/>
      <c r="G142" s="199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9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</row>
    <row r="143" ht="15.75" customHeight="1">
      <c r="A143" s="198"/>
      <c r="B143" s="198"/>
      <c r="C143" s="198"/>
      <c r="D143" s="198"/>
      <c r="E143" s="198"/>
      <c r="F143" s="198"/>
      <c r="G143" s="199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9"/>
      <c r="W143" s="198"/>
      <c r="X143" s="198"/>
      <c r="Y143" s="198"/>
      <c r="Z143" s="198"/>
      <c r="AA143" s="198"/>
      <c r="AB143" s="198"/>
      <c r="AC143" s="198"/>
      <c r="AD143" s="198"/>
      <c r="AE143" s="198"/>
      <c r="AF143" s="198"/>
      <c r="AG143" s="198"/>
      <c r="AH143" s="198"/>
    </row>
    <row r="144" ht="15.75" customHeight="1">
      <c r="A144" s="198"/>
      <c r="B144" s="198"/>
      <c r="C144" s="198"/>
      <c r="D144" s="198"/>
      <c r="E144" s="198"/>
      <c r="F144" s="198"/>
      <c r="G144" s="199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9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198"/>
    </row>
    <row r="145" ht="15.75" customHeight="1">
      <c r="A145" s="198"/>
      <c r="B145" s="198"/>
      <c r="C145" s="198"/>
      <c r="D145" s="198"/>
      <c r="E145" s="198"/>
      <c r="F145" s="198"/>
      <c r="G145" s="199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9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198"/>
    </row>
    <row r="146" ht="15.75" customHeight="1">
      <c r="A146" s="198"/>
      <c r="B146" s="198"/>
      <c r="C146" s="198"/>
      <c r="D146" s="198"/>
      <c r="E146" s="198"/>
      <c r="F146" s="198"/>
      <c r="G146" s="199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9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</row>
    <row r="147" ht="15.75" customHeight="1">
      <c r="A147" s="198"/>
      <c r="B147" s="198"/>
      <c r="C147" s="198"/>
      <c r="D147" s="198"/>
      <c r="E147" s="198"/>
      <c r="F147" s="198"/>
      <c r="G147" s="199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9"/>
      <c r="W147" s="198"/>
      <c r="X147" s="198"/>
      <c r="Y147" s="198"/>
      <c r="Z147" s="198"/>
      <c r="AA147" s="198"/>
      <c r="AB147" s="198"/>
      <c r="AC147" s="198"/>
      <c r="AD147" s="198"/>
      <c r="AE147" s="198"/>
      <c r="AF147" s="198"/>
      <c r="AG147" s="198"/>
      <c r="AH147" s="198"/>
    </row>
    <row r="148" ht="15.75" customHeight="1">
      <c r="A148" s="198"/>
      <c r="B148" s="198"/>
      <c r="C148" s="198"/>
      <c r="D148" s="198"/>
      <c r="E148" s="198"/>
      <c r="F148" s="198"/>
      <c r="G148" s="199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9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</row>
    <row r="149" ht="15.75" customHeight="1">
      <c r="A149" s="198"/>
      <c r="B149" s="198"/>
      <c r="C149" s="198"/>
      <c r="D149" s="198"/>
      <c r="E149" s="198"/>
      <c r="F149" s="198"/>
      <c r="G149" s="199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9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198"/>
      <c r="AH149" s="198"/>
    </row>
    <row r="150" ht="15.75" customHeight="1">
      <c r="A150" s="198"/>
      <c r="B150" s="198"/>
      <c r="C150" s="198"/>
      <c r="D150" s="198"/>
      <c r="E150" s="198"/>
      <c r="F150" s="198"/>
      <c r="G150" s="199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9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</row>
    <row r="151" ht="15.75" customHeight="1">
      <c r="A151" s="198"/>
      <c r="B151" s="198"/>
      <c r="C151" s="198"/>
      <c r="D151" s="198"/>
      <c r="E151" s="198"/>
      <c r="F151" s="198"/>
      <c r="G151" s="199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9"/>
      <c r="W151" s="198"/>
      <c r="X151" s="198"/>
      <c r="Y151" s="198"/>
      <c r="Z151" s="198"/>
      <c r="AA151" s="198"/>
      <c r="AB151" s="198"/>
      <c r="AC151" s="198"/>
      <c r="AD151" s="198"/>
      <c r="AE151" s="198"/>
      <c r="AF151" s="198"/>
      <c r="AG151" s="198"/>
      <c r="AH151" s="198"/>
    </row>
    <row r="152" ht="15.75" customHeight="1">
      <c r="A152" s="198"/>
      <c r="B152" s="198"/>
      <c r="C152" s="198"/>
      <c r="D152" s="198"/>
      <c r="E152" s="198"/>
      <c r="F152" s="198"/>
      <c r="G152" s="199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9"/>
      <c r="W152" s="198"/>
      <c r="X152" s="198"/>
      <c r="Y152" s="198"/>
      <c r="Z152" s="198"/>
      <c r="AA152" s="198"/>
      <c r="AB152" s="198"/>
      <c r="AC152" s="198"/>
      <c r="AD152" s="198"/>
      <c r="AE152" s="198"/>
      <c r="AF152" s="198"/>
      <c r="AG152" s="198"/>
      <c r="AH152" s="198"/>
    </row>
    <row r="153" ht="15.75" customHeight="1">
      <c r="A153" s="198"/>
      <c r="B153" s="198"/>
      <c r="C153" s="198"/>
      <c r="D153" s="198"/>
      <c r="E153" s="198"/>
      <c r="F153" s="198"/>
      <c r="G153" s="199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9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</row>
    <row r="154" ht="15.75" customHeight="1">
      <c r="A154" s="198"/>
      <c r="B154" s="198"/>
      <c r="C154" s="198"/>
      <c r="D154" s="198"/>
      <c r="E154" s="198"/>
      <c r="F154" s="198"/>
      <c r="G154" s="199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9"/>
      <c r="W154" s="198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198"/>
    </row>
    <row r="155" ht="15.75" customHeight="1">
      <c r="A155" s="198"/>
      <c r="B155" s="198"/>
      <c r="C155" s="198"/>
      <c r="D155" s="198"/>
      <c r="E155" s="198"/>
      <c r="F155" s="198"/>
      <c r="G155" s="199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9"/>
      <c r="W155" s="198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</row>
    <row r="156" ht="15.75" customHeight="1">
      <c r="A156" s="198"/>
      <c r="B156" s="198"/>
      <c r="C156" s="198"/>
      <c r="D156" s="198"/>
      <c r="E156" s="198"/>
      <c r="F156" s="198"/>
      <c r="G156" s="199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9"/>
      <c r="W156" s="198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198"/>
    </row>
    <row r="157" ht="15.75" customHeight="1">
      <c r="A157" s="198"/>
      <c r="B157" s="198"/>
      <c r="C157" s="198"/>
      <c r="D157" s="198"/>
      <c r="E157" s="198"/>
      <c r="F157" s="198"/>
      <c r="G157" s="199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9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</row>
    <row r="158" ht="15.75" customHeight="1">
      <c r="A158" s="198"/>
      <c r="B158" s="198"/>
      <c r="C158" s="198"/>
      <c r="D158" s="198"/>
      <c r="E158" s="198"/>
      <c r="F158" s="198"/>
      <c r="G158" s="199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9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198"/>
    </row>
    <row r="159" ht="15.75" customHeight="1">
      <c r="A159" s="198"/>
      <c r="B159" s="198"/>
      <c r="C159" s="198"/>
      <c r="D159" s="198"/>
      <c r="E159" s="198"/>
      <c r="F159" s="198"/>
      <c r="G159" s="199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9"/>
      <c r="W159" s="198"/>
      <c r="X159" s="198"/>
      <c r="Y159" s="198"/>
      <c r="Z159" s="198"/>
      <c r="AA159" s="198"/>
      <c r="AB159" s="198"/>
      <c r="AC159" s="198"/>
      <c r="AD159" s="198"/>
      <c r="AE159" s="198"/>
      <c r="AF159" s="198"/>
      <c r="AG159" s="198"/>
      <c r="AH159" s="198"/>
    </row>
    <row r="160" ht="15.75" customHeight="1">
      <c r="A160" s="198"/>
      <c r="B160" s="198"/>
      <c r="C160" s="198"/>
      <c r="D160" s="198"/>
      <c r="E160" s="198"/>
      <c r="F160" s="198"/>
      <c r="G160" s="199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9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</row>
    <row r="161" ht="15.75" customHeight="1">
      <c r="A161" s="198"/>
      <c r="B161" s="198"/>
      <c r="C161" s="198"/>
      <c r="D161" s="198"/>
      <c r="E161" s="198"/>
      <c r="F161" s="198"/>
      <c r="G161" s="199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9"/>
      <c r="W161" s="198"/>
      <c r="X161" s="198"/>
      <c r="Y161" s="198"/>
      <c r="Z161" s="198"/>
      <c r="AA161" s="198"/>
      <c r="AB161" s="198"/>
      <c r="AC161" s="198"/>
      <c r="AD161" s="198"/>
      <c r="AE161" s="198"/>
      <c r="AF161" s="198"/>
      <c r="AG161" s="198"/>
      <c r="AH161" s="198"/>
    </row>
    <row r="162" ht="15.75" customHeight="1">
      <c r="A162" s="198"/>
      <c r="B162" s="198"/>
      <c r="C162" s="198"/>
      <c r="D162" s="198"/>
      <c r="E162" s="198"/>
      <c r="F162" s="198"/>
      <c r="G162" s="199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9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</row>
    <row r="163" ht="15.75" customHeight="1">
      <c r="A163" s="198"/>
      <c r="B163" s="198"/>
      <c r="C163" s="198"/>
      <c r="D163" s="198"/>
      <c r="E163" s="198"/>
      <c r="F163" s="198"/>
      <c r="G163" s="199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9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198"/>
    </row>
    <row r="164" ht="15.75" customHeight="1">
      <c r="A164" s="198"/>
      <c r="B164" s="198"/>
      <c r="C164" s="198"/>
      <c r="D164" s="198"/>
      <c r="E164" s="198"/>
      <c r="F164" s="198"/>
      <c r="G164" s="199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9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</row>
    <row r="165" ht="15.75" customHeight="1">
      <c r="A165" s="198"/>
      <c r="B165" s="198"/>
      <c r="C165" s="198"/>
      <c r="D165" s="198"/>
      <c r="E165" s="198"/>
      <c r="F165" s="198"/>
      <c r="G165" s="199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9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198"/>
    </row>
    <row r="166" ht="15.75" customHeight="1">
      <c r="A166" s="198"/>
      <c r="B166" s="198"/>
      <c r="C166" s="198"/>
      <c r="D166" s="198"/>
      <c r="E166" s="198"/>
      <c r="F166" s="198"/>
      <c r="G166" s="199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9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198"/>
    </row>
    <row r="167" ht="15.75" customHeight="1">
      <c r="A167" s="198"/>
      <c r="B167" s="198"/>
      <c r="C167" s="198"/>
      <c r="D167" s="198"/>
      <c r="E167" s="198"/>
      <c r="F167" s="198"/>
      <c r="G167" s="199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9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</row>
    <row r="168" ht="15.75" customHeight="1">
      <c r="A168" s="198"/>
      <c r="B168" s="198"/>
      <c r="C168" s="198"/>
      <c r="D168" s="198"/>
      <c r="E168" s="198"/>
      <c r="F168" s="198"/>
      <c r="G168" s="199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9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198"/>
    </row>
    <row r="169" ht="15.75" customHeight="1">
      <c r="A169" s="198"/>
      <c r="B169" s="198"/>
      <c r="C169" s="198"/>
      <c r="D169" s="198"/>
      <c r="E169" s="198"/>
      <c r="F169" s="198"/>
      <c r="G169" s="199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9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198"/>
    </row>
    <row r="170" ht="15.75" customHeight="1">
      <c r="A170" s="198"/>
      <c r="B170" s="198"/>
      <c r="C170" s="198"/>
      <c r="D170" s="198"/>
      <c r="E170" s="198"/>
      <c r="F170" s="198"/>
      <c r="G170" s="199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9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</row>
    <row r="171" ht="15.75" customHeight="1">
      <c r="A171" s="198"/>
      <c r="B171" s="198"/>
      <c r="C171" s="198"/>
      <c r="D171" s="198"/>
      <c r="E171" s="198"/>
      <c r="F171" s="198"/>
      <c r="G171" s="199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9"/>
      <c r="W171" s="198"/>
      <c r="X171" s="198"/>
      <c r="Y171" s="198"/>
      <c r="Z171" s="198"/>
      <c r="AA171" s="198"/>
      <c r="AB171" s="198"/>
      <c r="AC171" s="198"/>
      <c r="AD171" s="198"/>
      <c r="AE171" s="198"/>
      <c r="AF171" s="198"/>
      <c r="AG171" s="198"/>
      <c r="AH171" s="198"/>
    </row>
    <row r="172" ht="15.75" customHeight="1">
      <c r="A172" s="198"/>
      <c r="B172" s="198"/>
      <c r="C172" s="198"/>
      <c r="D172" s="198"/>
      <c r="E172" s="198"/>
      <c r="F172" s="198"/>
      <c r="G172" s="199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9"/>
      <c r="W172" s="198"/>
      <c r="X172" s="198"/>
      <c r="Y172" s="198"/>
      <c r="Z172" s="198"/>
      <c r="AA172" s="198"/>
      <c r="AB172" s="198"/>
      <c r="AC172" s="198"/>
      <c r="AD172" s="198"/>
      <c r="AE172" s="198"/>
      <c r="AF172" s="198"/>
      <c r="AG172" s="198"/>
      <c r="AH172" s="198"/>
    </row>
    <row r="173" ht="15.75" customHeight="1">
      <c r="A173" s="198"/>
      <c r="B173" s="198"/>
      <c r="C173" s="198"/>
      <c r="D173" s="198"/>
      <c r="E173" s="198"/>
      <c r="F173" s="198"/>
      <c r="G173" s="199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9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</row>
    <row r="174" ht="15.75" customHeight="1">
      <c r="A174" s="198"/>
      <c r="B174" s="198"/>
      <c r="C174" s="198"/>
      <c r="D174" s="198"/>
      <c r="E174" s="198"/>
      <c r="F174" s="198"/>
      <c r="G174" s="199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9"/>
      <c r="W174" s="198"/>
      <c r="X174" s="198"/>
      <c r="Y174" s="198"/>
      <c r="Z174" s="198"/>
      <c r="AA174" s="198"/>
      <c r="AB174" s="198"/>
      <c r="AC174" s="198"/>
      <c r="AD174" s="198"/>
      <c r="AE174" s="198"/>
      <c r="AF174" s="198"/>
      <c r="AG174" s="198"/>
      <c r="AH174" s="198"/>
    </row>
    <row r="175" ht="15.75" customHeight="1">
      <c r="A175" s="198"/>
      <c r="B175" s="198"/>
      <c r="C175" s="198"/>
      <c r="D175" s="198"/>
      <c r="E175" s="198"/>
      <c r="F175" s="198"/>
      <c r="G175" s="199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9"/>
      <c r="W175" s="198"/>
      <c r="X175" s="198"/>
      <c r="Y175" s="198"/>
      <c r="Z175" s="198"/>
      <c r="AA175" s="198"/>
      <c r="AB175" s="198"/>
      <c r="AC175" s="198"/>
      <c r="AD175" s="198"/>
      <c r="AE175" s="198"/>
      <c r="AF175" s="198"/>
      <c r="AG175" s="198"/>
      <c r="AH175" s="198"/>
    </row>
    <row r="176" ht="15.75" customHeight="1">
      <c r="A176" s="198"/>
      <c r="B176" s="198"/>
      <c r="C176" s="198"/>
      <c r="D176" s="198"/>
      <c r="E176" s="198"/>
      <c r="F176" s="198"/>
      <c r="G176" s="199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9"/>
      <c r="W176" s="198"/>
      <c r="X176" s="198"/>
      <c r="Y176" s="198"/>
      <c r="Z176" s="198"/>
      <c r="AA176" s="198"/>
      <c r="AB176" s="198"/>
      <c r="AC176" s="198"/>
      <c r="AD176" s="198"/>
      <c r="AE176" s="198"/>
      <c r="AF176" s="198"/>
      <c r="AG176" s="198"/>
      <c r="AH176" s="198"/>
    </row>
    <row r="177" ht="15.75" customHeight="1">
      <c r="A177" s="198"/>
      <c r="B177" s="198"/>
      <c r="C177" s="198"/>
      <c r="D177" s="198"/>
      <c r="E177" s="198"/>
      <c r="F177" s="198"/>
      <c r="G177" s="199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9"/>
      <c r="W177" s="198"/>
      <c r="X177" s="198"/>
      <c r="Y177" s="198"/>
      <c r="Z177" s="198"/>
      <c r="AA177" s="198"/>
      <c r="AB177" s="198"/>
      <c r="AC177" s="198"/>
      <c r="AD177" s="198"/>
      <c r="AE177" s="198"/>
      <c r="AF177" s="198"/>
      <c r="AG177" s="198"/>
      <c r="AH177" s="198"/>
    </row>
    <row r="178" ht="15.75" customHeight="1">
      <c r="A178" s="198"/>
      <c r="B178" s="198"/>
      <c r="C178" s="198"/>
      <c r="D178" s="198"/>
      <c r="E178" s="198"/>
      <c r="F178" s="198"/>
      <c r="G178" s="199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9"/>
      <c r="W178" s="198"/>
      <c r="X178" s="198"/>
      <c r="Y178" s="198"/>
      <c r="Z178" s="198"/>
      <c r="AA178" s="198"/>
      <c r="AB178" s="198"/>
      <c r="AC178" s="198"/>
      <c r="AD178" s="198"/>
      <c r="AE178" s="198"/>
      <c r="AF178" s="198"/>
      <c r="AG178" s="198"/>
      <c r="AH178" s="198"/>
    </row>
    <row r="179" ht="15.75" customHeight="1">
      <c r="A179" s="198"/>
      <c r="B179" s="198"/>
      <c r="C179" s="198"/>
      <c r="D179" s="198"/>
      <c r="E179" s="198"/>
      <c r="F179" s="198"/>
      <c r="G179" s="199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9"/>
      <c r="W179" s="198"/>
      <c r="X179" s="198"/>
      <c r="Y179" s="198"/>
      <c r="Z179" s="198"/>
      <c r="AA179" s="198"/>
      <c r="AB179" s="198"/>
      <c r="AC179" s="198"/>
      <c r="AD179" s="198"/>
      <c r="AE179" s="198"/>
      <c r="AF179" s="198"/>
      <c r="AG179" s="198"/>
      <c r="AH179" s="198"/>
    </row>
    <row r="180" ht="15.75" customHeight="1">
      <c r="A180" s="198"/>
      <c r="B180" s="198"/>
      <c r="C180" s="198"/>
      <c r="D180" s="198"/>
      <c r="E180" s="198"/>
      <c r="F180" s="198"/>
      <c r="G180" s="199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9"/>
      <c r="W180" s="198"/>
      <c r="X180" s="198"/>
      <c r="Y180" s="198"/>
      <c r="Z180" s="198"/>
      <c r="AA180" s="198"/>
      <c r="AB180" s="198"/>
      <c r="AC180" s="198"/>
      <c r="AD180" s="198"/>
      <c r="AE180" s="198"/>
      <c r="AF180" s="198"/>
      <c r="AG180" s="198"/>
      <c r="AH180" s="198"/>
    </row>
    <row r="181" ht="15.75" customHeight="1">
      <c r="A181" s="198"/>
      <c r="B181" s="198"/>
      <c r="C181" s="198"/>
      <c r="D181" s="198"/>
      <c r="E181" s="198"/>
      <c r="F181" s="198"/>
      <c r="G181" s="199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9"/>
      <c r="W181" s="198"/>
      <c r="X181" s="198"/>
      <c r="Y181" s="198"/>
      <c r="Z181" s="198"/>
      <c r="AA181" s="198"/>
      <c r="AB181" s="198"/>
      <c r="AC181" s="198"/>
      <c r="AD181" s="198"/>
      <c r="AE181" s="198"/>
      <c r="AF181" s="198"/>
      <c r="AG181" s="198"/>
      <c r="AH181" s="198"/>
    </row>
    <row r="182" ht="15.75" customHeight="1">
      <c r="A182" s="198"/>
      <c r="B182" s="198"/>
      <c r="C182" s="198"/>
      <c r="D182" s="198"/>
      <c r="E182" s="198"/>
      <c r="F182" s="198"/>
      <c r="G182" s="199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9"/>
      <c r="W182" s="198"/>
      <c r="X182" s="198"/>
      <c r="Y182" s="198"/>
      <c r="Z182" s="198"/>
      <c r="AA182" s="198"/>
      <c r="AB182" s="198"/>
      <c r="AC182" s="198"/>
      <c r="AD182" s="198"/>
      <c r="AE182" s="198"/>
      <c r="AF182" s="198"/>
      <c r="AG182" s="198"/>
      <c r="AH182" s="198"/>
    </row>
    <row r="183" ht="15.75" customHeight="1">
      <c r="A183" s="198"/>
      <c r="B183" s="198"/>
      <c r="C183" s="198"/>
      <c r="D183" s="198"/>
      <c r="E183" s="198"/>
      <c r="F183" s="198"/>
      <c r="G183" s="199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9"/>
      <c r="W183" s="198"/>
      <c r="X183" s="198"/>
      <c r="Y183" s="198"/>
      <c r="Z183" s="198"/>
      <c r="AA183" s="198"/>
      <c r="AB183" s="198"/>
      <c r="AC183" s="198"/>
      <c r="AD183" s="198"/>
      <c r="AE183" s="198"/>
      <c r="AF183" s="198"/>
      <c r="AG183" s="198"/>
      <c r="AH183" s="198"/>
    </row>
    <row r="184" ht="15.75" customHeight="1">
      <c r="A184" s="198"/>
      <c r="B184" s="198"/>
      <c r="C184" s="198"/>
      <c r="D184" s="198"/>
      <c r="E184" s="198"/>
      <c r="F184" s="198"/>
      <c r="G184" s="199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9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</row>
    <row r="185" ht="15.75" customHeight="1">
      <c r="A185" s="198"/>
      <c r="B185" s="198"/>
      <c r="C185" s="198"/>
      <c r="D185" s="198"/>
      <c r="E185" s="198"/>
      <c r="F185" s="198"/>
      <c r="G185" s="199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9"/>
      <c r="W185" s="198"/>
      <c r="X185" s="198"/>
      <c r="Y185" s="198"/>
      <c r="Z185" s="198"/>
      <c r="AA185" s="198"/>
      <c r="AB185" s="198"/>
      <c r="AC185" s="198"/>
      <c r="AD185" s="198"/>
      <c r="AE185" s="198"/>
      <c r="AF185" s="198"/>
      <c r="AG185" s="198"/>
      <c r="AH185" s="198"/>
    </row>
    <row r="186" ht="15.75" customHeight="1">
      <c r="A186" s="198"/>
      <c r="B186" s="198"/>
      <c r="C186" s="198"/>
      <c r="D186" s="198"/>
      <c r="E186" s="198"/>
      <c r="F186" s="198"/>
      <c r="G186" s="199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9"/>
      <c r="W186" s="198"/>
      <c r="X186" s="198"/>
      <c r="Y186" s="198"/>
      <c r="Z186" s="198"/>
      <c r="AA186" s="198"/>
      <c r="AB186" s="198"/>
      <c r="AC186" s="198"/>
      <c r="AD186" s="198"/>
      <c r="AE186" s="198"/>
      <c r="AF186" s="198"/>
      <c r="AG186" s="198"/>
      <c r="AH186" s="198"/>
    </row>
    <row r="187" ht="15.75" customHeight="1">
      <c r="A187" s="198"/>
      <c r="B187" s="198"/>
      <c r="C187" s="198"/>
      <c r="D187" s="198"/>
      <c r="E187" s="198"/>
      <c r="F187" s="198"/>
      <c r="G187" s="199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9"/>
      <c r="W187" s="198"/>
      <c r="X187" s="198"/>
      <c r="Y187" s="198"/>
      <c r="Z187" s="198"/>
      <c r="AA187" s="198"/>
      <c r="AB187" s="198"/>
      <c r="AC187" s="198"/>
      <c r="AD187" s="198"/>
      <c r="AE187" s="198"/>
      <c r="AF187" s="198"/>
      <c r="AG187" s="198"/>
      <c r="AH187" s="198"/>
    </row>
    <row r="188" ht="15.75" customHeight="1">
      <c r="A188" s="198"/>
      <c r="B188" s="198"/>
      <c r="C188" s="198"/>
      <c r="D188" s="198"/>
      <c r="E188" s="198"/>
      <c r="F188" s="198"/>
      <c r="G188" s="199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9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</row>
    <row r="189" ht="15.75" customHeight="1">
      <c r="A189" s="198"/>
      <c r="B189" s="198"/>
      <c r="C189" s="198"/>
      <c r="D189" s="198"/>
      <c r="E189" s="198"/>
      <c r="F189" s="198"/>
      <c r="G189" s="199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9"/>
      <c r="W189" s="198"/>
      <c r="X189" s="198"/>
      <c r="Y189" s="198"/>
      <c r="Z189" s="198"/>
      <c r="AA189" s="198"/>
      <c r="AB189" s="198"/>
      <c r="AC189" s="198"/>
      <c r="AD189" s="198"/>
      <c r="AE189" s="198"/>
      <c r="AF189" s="198"/>
      <c r="AG189" s="198"/>
      <c r="AH189" s="198"/>
    </row>
    <row r="190" ht="15.75" customHeight="1">
      <c r="A190" s="198"/>
      <c r="B190" s="198"/>
      <c r="C190" s="198"/>
      <c r="D190" s="198"/>
      <c r="E190" s="198"/>
      <c r="F190" s="198"/>
      <c r="G190" s="199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9"/>
      <c r="W190" s="198"/>
      <c r="X190" s="198"/>
      <c r="Y190" s="198"/>
      <c r="Z190" s="198"/>
      <c r="AA190" s="198"/>
      <c r="AB190" s="198"/>
      <c r="AC190" s="198"/>
      <c r="AD190" s="198"/>
      <c r="AE190" s="198"/>
      <c r="AF190" s="198"/>
      <c r="AG190" s="198"/>
      <c r="AH190" s="198"/>
    </row>
    <row r="191" ht="15.75" customHeight="1">
      <c r="A191" s="198"/>
      <c r="B191" s="198"/>
      <c r="C191" s="198"/>
      <c r="D191" s="198"/>
      <c r="E191" s="198"/>
      <c r="F191" s="198"/>
      <c r="G191" s="199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9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</row>
    <row r="192" ht="15.75" customHeight="1">
      <c r="A192" s="198"/>
      <c r="B192" s="198"/>
      <c r="C192" s="198"/>
      <c r="D192" s="198"/>
      <c r="E192" s="198"/>
      <c r="F192" s="198"/>
      <c r="G192" s="199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9"/>
      <c r="W192" s="198"/>
      <c r="X192" s="198"/>
      <c r="Y192" s="198"/>
      <c r="Z192" s="198"/>
      <c r="AA192" s="198"/>
      <c r="AB192" s="198"/>
      <c r="AC192" s="198"/>
      <c r="AD192" s="198"/>
      <c r="AE192" s="198"/>
      <c r="AF192" s="198"/>
      <c r="AG192" s="198"/>
      <c r="AH192" s="198"/>
    </row>
    <row r="193" ht="15.75" customHeight="1">
      <c r="A193" s="198"/>
      <c r="B193" s="198"/>
      <c r="C193" s="198"/>
      <c r="D193" s="198"/>
      <c r="E193" s="198"/>
      <c r="F193" s="198"/>
      <c r="G193" s="199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9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</row>
    <row r="194" ht="15.75" customHeight="1">
      <c r="A194" s="198"/>
      <c r="B194" s="198"/>
      <c r="C194" s="198"/>
      <c r="D194" s="198"/>
      <c r="E194" s="198"/>
      <c r="F194" s="198"/>
      <c r="G194" s="199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9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</row>
    <row r="195" ht="15.75" customHeight="1">
      <c r="A195" s="198"/>
      <c r="B195" s="198"/>
      <c r="C195" s="198"/>
      <c r="D195" s="198"/>
      <c r="E195" s="198"/>
      <c r="F195" s="198"/>
      <c r="G195" s="199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9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</row>
    <row r="196" ht="15.75" customHeight="1">
      <c r="A196" s="198"/>
      <c r="B196" s="198"/>
      <c r="C196" s="198"/>
      <c r="D196" s="198"/>
      <c r="E196" s="198"/>
      <c r="F196" s="198"/>
      <c r="G196" s="199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9"/>
      <c r="W196" s="198"/>
      <c r="X196" s="198"/>
      <c r="Y196" s="198"/>
      <c r="Z196" s="198"/>
      <c r="AA196" s="198"/>
      <c r="AB196" s="198"/>
      <c r="AC196" s="198"/>
      <c r="AD196" s="198"/>
      <c r="AE196" s="198"/>
      <c r="AF196" s="198"/>
      <c r="AG196" s="198"/>
      <c r="AH196" s="198"/>
    </row>
    <row r="197" ht="15.75" customHeight="1">
      <c r="A197" s="198"/>
      <c r="B197" s="198"/>
      <c r="C197" s="198"/>
      <c r="D197" s="198"/>
      <c r="E197" s="198"/>
      <c r="F197" s="198"/>
      <c r="G197" s="199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9"/>
      <c r="W197" s="198"/>
      <c r="X197" s="198"/>
      <c r="Y197" s="198"/>
      <c r="Z197" s="198"/>
      <c r="AA197" s="198"/>
      <c r="AB197" s="198"/>
      <c r="AC197" s="198"/>
      <c r="AD197" s="198"/>
      <c r="AE197" s="198"/>
      <c r="AF197" s="198"/>
      <c r="AG197" s="198"/>
      <c r="AH197" s="198"/>
    </row>
    <row r="198" ht="15.75" customHeight="1">
      <c r="A198" s="198"/>
      <c r="B198" s="198"/>
      <c r="C198" s="198"/>
      <c r="D198" s="198"/>
      <c r="E198" s="198"/>
      <c r="F198" s="198"/>
      <c r="G198" s="199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9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</row>
    <row r="199" ht="15.75" customHeight="1">
      <c r="A199" s="198"/>
      <c r="B199" s="198"/>
      <c r="C199" s="198"/>
      <c r="D199" s="198"/>
      <c r="E199" s="198"/>
      <c r="F199" s="198"/>
      <c r="G199" s="199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9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</row>
    <row r="200" ht="15.75" customHeight="1">
      <c r="A200" s="198"/>
      <c r="B200" s="198"/>
      <c r="C200" s="198"/>
      <c r="D200" s="198"/>
      <c r="E200" s="198"/>
      <c r="F200" s="198"/>
      <c r="G200" s="199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9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</row>
    <row r="201" ht="15.75" customHeight="1">
      <c r="A201" s="198"/>
      <c r="B201" s="198"/>
      <c r="C201" s="198"/>
      <c r="D201" s="198"/>
      <c r="E201" s="198"/>
      <c r="F201" s="198"/>
      <c r="G201" s="199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9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</row>
    <row r="202" ht="15.75" customHeight="1">
      <c r="A202" s="198"/>
      <c r="B202" s="198"/>
      <c r="C202" s="198"/>
      <c r="D202" s="198"/>
      <c r="E202" s="198"/>
      <c r="F202" s="198"/>
      <c r="G202" s="199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9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</row>
    <row r="203" ht="15.75" customHeight="1">
      <c r="A203" s="198"/>
      <c r="B203" s="198"/>
      <c r="C203" s="198"/>
      <c r="D203" s="198"/>
      <c r="E203" s="198"/>
      <c r="F203" s="198"/>
      <c r="G203" s="199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9"/>
      <c r="W203" s="198"/>
      <c r="X203" s="198"/>
      <c r="Y203" s="198"/>
      <c r="Z203" s="198"/>
      <c r="AA203" s="198"/>
      <c r="AB203" s="198"/>
      <c r="AC203" s="198"/>
      <c r="AD203" s="198"/>
      <c r="AE203" s="198"/>
      <c r="AF203" s="198"/>
      <c r="AG203" s="198"/>
      <c r="AH203" s="198"/>
    </row>
    <row r="204" ht="15.75" customHeight="1">
      <c r="A204" s="198"/>
      <c r="B204" s="198"/>
      <c r="C204" s="198"/>
      <c r="D204" s="198"/>
      <c r="E204" s="198"/>
      <c r="F204" s="198"/>
      <c r="G204" s="199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9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</row>
    <row r="205" ht="15.75" customHeight="1">
      <c r="A205" s="198"/>
      <c r="B205" s="198"/>
      <c r="C205" s="198"/>
      <c r="D205" s="198"/>
      <c r="E205" s="198"/>
      <c r="F205" s="198"/>
      <c r="G205" s="199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9"/>
      <c r="W205" s="198"/>
      <c r="X205" s="198"/>
      <c r="Y205" s="198"/>
      <c r="Z205" s="198"/>
      <c r="AA205" s="198"/>
      <c r="AB205" s="198"/>
      <c r="AC205" s="198"/>
      <c r="AD205" s="198"/>
      <c r="AE205" s="198"/>
      <c r="AF205" s="198"/>
      <c r="AG205" s="198"/>
      <c r="AH205" s="198"/>
    </row>
    <row r="206" ht="15.75" customHeight="1">
      <c r="A206" s="198"/>
      <c r="B206" s="198"/>
      <c r="C206" s="198"/>
      <c r="D206" s="198"/>
      <c r="E206" s="198"/>
      <c r="F206" s="198"/>
      <c r="G206" s="199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9"/>
      <c r="W206" s="198"/>
      <c r="X206" s="198"/>
      <c r="Y206" s="198"/>
      <c r="Z206" s="198"/>
      <c r="AA206" s="198"/>
      <c r="AB206" s="198"/>
      <c r="AC206" s="198"/>
      <c r="AD206" s="198"/>
      <c r="AE206" s="198"/>
      <c r="AF206" s="198"/>
      <c r="AG206" s="198"/>
      <c r="AH206" s="198"/>
    </row>
    <row r="207" ht="15.75" customHeight="1">
      <c r="A207" s="198"/>
      <c r="B207" s="198"/>
      <c r="C207" s="198"/>
      <c r="D207" s="198"/>
      <c r="E207" s="198"/>
      <c r="F207" s="198"/>
      <c r="G207" s="199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9"/>
      <c r="W207" s="198"/>
      <c r="X207" s="198"/>
      <c r="Y207" s="198"/>
      <c r="Z207" s="198"/>
      <c r="AA207" s="198"/>
      <c r="AB207" s="198"/>
      <c r="AC207" s="198"/>
      <c r="AD207" s="198"/>
      <c r="AE207" s="198"/>
      <c r="AF207" s="198"/>
      <c r="AG207" s="198"/>
      <c r="AH207" s="198"/>
    </row>
    <row r="208" ht="15.75" customHeight="1">
      <c r="A208" s="198"/>
      <c r="B208" s="198"/>
      <c r="C208" s="198"/>
      <c r="D208" s="198"/>
      <c r="E208" s="198"/>
      <c r="F208" s="198"/>
      <c r="G208" s="199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9"/>
      <c r="W208" s="198"/>
      <c r="X208" s="198"/>
      <c r="Y208" s="198"/>
      <c r="Z208" s="198"/>
      <c r="AA208" s="198"/>
      <c r="AB208" s="198"/>
      <c r="AC208" s="198"/>
      <c r="AD208" s="198"/>
      <c r="AE208" s="198"/>
      <c r="AF208" s="198"/>
      <c r="AG208" s="198"/>
      <c r="AH208" s="198"/>
    </row>
    <row r="209" ht="15.75" customHeight="1">
      <c r="A209" s="198"/>
      <c r="B209" s="198"/>
      <c r="C209" s="198"/>
      <c r="D209" s="198"/>
      <c r="E209" s="198"/>
      <c r="F209" s="198"/>
      <c r="G209" s="199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9"/>
      <c r="W209" s="198"/>
      <c r="X209" s="198"/>
      <c r="Y209" s="198"/>
      <c r="Z209" s="198"/>
      <c r="AA209" s="198"/>
      <c r="AB209" s="198"/>
      <c r="AC209" s="198"/>
      <c r="AD209" s="198"/>
      <c r="AE209" s="198"/>
      <c r="AF209" s="198"/>
      <c r="AG209" s="198"/>
      <c r="AH209" s="198"/>
    </row>
    <row r="210" ht="15.75" customHeight="1">
      <c r="A210" s="198"/>
      <c r="B210" s="198"/>
      <c r="C210" s="198"/>
      <c r="D210" s="198"/>
      <c r="E210" s="198"/>
      <c r="F210" s="198"/>
      <c r="G210" s="199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9"/>
      <c r="W210" s="198"/>
      <c r="X210" s="198"/>
      <c r="Y210" s="198"/>
      <c r="Z210" s="198"/>
      <c r="AA210" s="198"/>
      <c r="AB210" s="198"/>
      <c r="AC210" s="198"/>
      <c r="AD210" s="198"/>
      <c r="AE210" s="198"/>
      <c r="AF210" s="198"/>
      <c r="AG210" s="198"/>
      <c r="AH210" s="198"/>
    </row>
    <row r="211" ht="15.75" customHeight="1">
      <c r="A211" s="198"/>
      <c r="B211" s="198"/>
      <c r="C211" s="198"/>
      <c r="D211" s="198"/>
      <c r="E211" s="198"/>
      <c r="F211" s="198"/>
      <c r="G211" s="199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9"/>
      <c r="W211" s="198"/>
      <c r="X211" s="198"/>
      <c r="Y211" s="198"/>
      <c r="Z211" s="198"/>
      <c r="AA211" s="198"/>
      <c r="AB211" s="198"/>
      <c r="AC211" s="198"/>
      <c r="AD211" s="198"/>
      <c r="AE211" s="198"/>
      <c r="AF211" s="198"/>
      <c r="AG211" s="198"/>
      <c r="AH211" s="198"/>
    </row>
    <row r="212" ht="15.75" customHeight="1">
      <c r="A212" s="198"/>
      <c r="B212" s="198"/>
      <c r="C212" s="198"/>
      <c r="D212" s="198"/>
      <c r="E212" s="198"/>
      <c r="F212" s="198"/>
      <c r="G212" s="199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9"/>
      <c r="W212" s="198"/>
      <c r="X212" s="198"/>
      <c r="Y212" s="198"/>
      <c r="Z212" s="198"/>
      <c r="AA212" s="198"/>
      <c r="AB212" s="198"/>
      <c r="AC212" s="198"/>
      <c r="AD212" s="198"/>
      <c r="AE212" s="198"/>
      <c r="AF212" s="198"/>
      <c r="AG212" s="198"/>
      <c r="AH212" s="198"/>
    </row>
    <row r="213" ht="15.75" customHeight="1">
      <c r="A213" s="198"/>
      <c r="B213" s="198"/>
      <c r="C213" s="198"/>
      <c r="D213" s="198"/>
      <c r="E213" s="198"/>
      <c r="F213" s="198"/>
      <c r="G213" s="199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9"/>
      <c r="W213" s="198"/>
      <c r="X213" s="198"/>
      <c r="Y213" s="198"/>
      <c r="Z213" s="198"/>
      <c r="AA213" s="198"/>
      <c r="AB213" s="198"/>
      <c r="AC213" s="198"/>
      <c r="AD213" s="198"/>
      <c r="AE213" s="198"/>
      <c r="AF213" s="198"/>
      <c r="AG213" s="198"/>
      <c r="AH213" s="198"/>
    </row>
    <row r="214" ht="15.75" customHeight="1">
      <c r="A214" s="198"/>
      <c r="B214" s="198"/>
      <c r="C214" s="198"/>
      <c r="D214" s="198"/>
      <c r="E214" s="198"/>
      <c r="F214" s="198"/>
      <c r="G214" s="199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9"/>
      <c r="W214" s="198"/>
      <c r="X214" s="198"/>
      <c r="Y214" s="198"/>
      <c r="Z214" s="198"/>
      <c r="AA214" s="198"/>
      <c r="AB214" s="198"/>
      <c r="AC214" s="198"/>
      <c r="AD214" s="198"/>
      <c r="AE214" s="198"/>
      <c r="AF214" s="198"/>
      <c r="AG214" s="198"/>
      <c r="AH214" s="198"/>
    </row>
    <row r="215" ht="15.75" customHeight="1">
      <c r="A215" s="198"/>
      <c r="B215" s="198"/>
      <c r="C215" s="198"/>
      <c r="D215" s="198"/>
      <c r="E215" s="198"/>
      <c r="F215" s="198"/>
      <c r="G215" s="199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9"/>
      <c r="W215" s="198"/>
      <c r="X215" s="198"/>
      <c r="Y215" s="198"/>
      <c r="Z215" s="198"/>
      <c r="AA215" s="198"/>
      <c r="AB215" s="198"/>
      <c r="AC215" s="198"/>
      <c r="AD215" s="198"/>
      <c r="AE215" s="198"/>
      <c r="AF215" s="198"/>
      <c r="AG215" s="198"/>
      <c r="AH215" s="198"/>
    </row>
    <row r="216" ht="15.75" customHeight="1">
      <c r="A216" s="198"/>
      <c r="B216" s="198"/>
      <c r="C216" s="198"/>
      <c r="D216" s="198"/>
      <c r="E216" s="198"/>
      <c r="F216" s="198"/>
      <c r="G216" s="199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9"/>
      <c r="W216" s="198"/>
      <c r="X216" s="198"/>
      <c r="Y216" s="198"/>
      <c r="Z216" s="198"/>
      <c r="AA216" s="198"/>
      <c r="AB216" s="198"/>
      <c r="AC216" s="198"/>
      <c r="AD216" s="198"/>
      <c r="AE216" s="198"/>
      <c r="AF216" s="198"/>
      <c r="AG216" s="198"/>
      <c r="AH216" s="198"/>
    </row>
    <row r="217" ht="15.75" customHeight="1">
      <c r="A217" s="198"/>
      <c r="B217" s="198"/>
      <c r="C217" s="198"/>
      <c r="D217" s="198"/>
      <c r="E217" s="198"/>
      <c r="F217" s="198"/>
      <c r="G217" s="199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9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</row>
    <row r="218" ht="15.75" customHeight="1">
      <c r="A218" s="198"/>
      <c r="B218" s="198"/>
      <c r="C218" s="198"/>
      <c r="D218" s="198"/>
      <c r="E218" s="198"/>
      <c r="F218" s="198"/>
      <c r="G218" s="199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9"/>
      <c r="W218" s="198"/>
      <c r="X218" s="198"/>
      <c r="Y218" s="198"/>
      <c r="Z218" s="198"/>
      <c r="AA218" s="198"/>
      <c r="AB218" s="198"/>
      <c r="AC218" s="198"/>
      <c r="AD218" s="198"/>
      <c r="AE218" s="198"/>
      <c r="AF218" s="198"/>
      <c r="AG218" s="198"/>
      <c r="AH218" s="198"/>
    </row>
    <row r="219" ht="15.75" customHeight="1">
      <c r="A219" s="198"/>
      <c r="B219" s="198"/>
      <c r="C219" s="198"/>
      <c r="D219" s="198"/>
      <c r="E219" s="198"/>
      <c r="F219" s="198"/>
      <c r="G219" s="199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9"/>
      <c r="W219" s="198"/>
      <c r="X219" s="198"/>
      <c r="Y219" s="198"/>
      <c r="Z219" s="198"/>
      <c r="AA219" s="198"/>
      <c r="AB219" s="198"/>
      <c r="AC219" s="198"/>
      <c r="AD219" s="198"/>
      <c r="AE219" s="198"/>
      <c r="AF219" s="198"/>
      <c r="AG219" s="198"/>
      <c r="AH219" s="198"/>
    </row>
    <row r="220" ht="15.75" customHeight="1">
      <c r="A220" s="198"/>
      <c r="B220" s="198"/>
      <c r="C220" s="198"/>
      <c r="D220" s="198"/>
      <c r="E220" s="198"/>
      <c r="F220" s="198"/>
      <c r="G220" s="199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9"/>
      <c r="W220" s="198"/>
      <c r="X220" s="198"/>
      <c r="Y220" s="198"/>
      <c r="Z220" s="198"/>
      <c r="AA220" s="198"/>
      <c r="AB220" s="198"/>
      <c r="AC220" s="198"/>
      <c r="AD220" s="198"/>
      <c r="AE220" s="198"/>
      <c r="AF220" s="198"/>
      <c r="AG220" s="198"/>
      <c r="AH220" s="198"/>
    </row>
    <row r="221" ht="15.75" customHeight="1">
      <c r="A221" s="198"/>
      <c r="B221" s="198"/>
      <c r="C221" s="198"/>
      <c r="D221" s="198"/>
      <c r="E221" s="198"/>
      <c r="F221" s="198"/>
      <c r="G221" s="199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9"/>
      <c r="W221" s="198"/>
      <c r="X221" s="198"/>
      <c r="Y221" s="198"/>
      <c r="Z221" s="198"/>
      <c r="AA221" s="198"/>
      <c r="AB221" s="198"/>
      <c r="AC221" s="198"/>
      <c r="AD221" s="198"/>
      <c r="AE221" s="198"/>
      <c r="AF221" s="198"/>
      <c r="AG221" s="198"/>
      <c r="AH221" s="198"/>
    </row>
    <row r="222" ht="15.75" customHeight="1">
      <c r="A222" s="198"/>
      <c r="B222" s="198"/>
      <c r="C222" s="198"/>
      <c r="D222" s="198"/>
      <c r="E222" s="198"/>
      <c r="F222" s="198"/>
      <c r="G222" s="199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9"/>
      <c r="W222" s="198"/>
      <c r="X222" s="198"/>
      <c r="Y222" s="198"/>
      <c r="Z222" s="198"/>
      <c r="AA222" s="198"/>
      <c r="AB222" s="198"/>
      <c r="AC222" s="198"/>
      <c r="AD222" s="198"/>
      <c r="AE222" s="198"/>
      <c r="AF222" s="198"/>
      <c r="AG222" s="198"/>
      <c r="AH222" s="198"/>
    </row>
    <row r="223" ht="15.75" customHeight="1">
      <c r="A223" s="198"/>
      <c r="B223" s="198"/>
      <c r="C223" s="198"/>
      <c r="D223" s="198"/>
      <c r="E223" s="198"/>
      <c r="F223" s="198"/>
      <c r="G223" s="199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9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</row>
    <row r="224" ht="15.75" customHeight="1">
      <c r="A224" s="198"/>
      <c r="B224" s="198"/>
      <c r="C224" s="198"/>
      <c r="D224" s="198"/>
      <c r="E224" s="198"/>
      <c r="F224" s="198"/>
      <c r="G224" s="199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9"/>
      <c r="W224" s="198"/>
      <c r="X224" s="198"/>
      <c r="Y224" s="198"/>
      <c r="Z224" s="198"/>
      <c r="AA224" s="198"/>
      <c r="AB224" s="198"/>
      <c r="AC224" s="198"/>
      <c r="AD224" s="198"/>
      <c r="AE224" s="198"/>
      <c r="AF224" s="198"/>
      <c r="AG224" s="198"/>
      <c r="AH224" s="198"/>
    </row>
    <row r="225" ht="15.75" customHeight="1">
      <c r="A225" s="198"/>
      <c r="B225" s="198"/>
      <c r="C225" s="198"/>
      <c r="D225" s="198"/>
      <c r="E225" s="198"/>
      <c r="F225" s="198"/>
      <c r="G225" s="199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9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</row>
    <row r="226" ht="15.75" customHeight="1">
      <c r="A226" s="198"/>
      <c r="B226" s="198"/>
      <c r="C226" s="198"/>
      <c r="D226" s="198"/>
      <c r="E226" s="198"/>
      <c r="F226" s="198"/>
      <c r="G226" s="199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9"/>
      <c r="W226" s="198"/>
      <c r="X226" s="198"/>
      <c r="Y226" s="198"/>
      <c r="Z226" s="198"/>
      <c r="AA226" s="198"/>
      <c r="AB226" s="198"/>
      <c r="AC226" s="198"/>
      <c r="AD226" s="198"/>
      <c r="AE226" s="198"/>
      <c r="AF226" s="198"/>
      <c r="AG226" s="198"/>
      <c r="AH226" s="198"/>
    </row>
    <row r="227" ht="15.75" customHeight="1">
      <c r="A227" s="198"/>
      <c r="B227" s="198"/>
      <c r="C227" s="198"/>
      <c r="D227" s="198"/>
      <c r="E227" s="198"/>
      <c r="F227" s="198"/>
      <c r="G227" s="199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9"/>
      <c r="W227" s="198"/>
      <c r="X227" s="198"/>
      <c r="Y227" s="198"/>
      <c r="Z227" s="198"/>
      <c r="AA227" s="198"/>
      <c r="AB227" s="198"/>
      <c r="AC227" s="198"/>
      <c r="AD227" s="198"/>
      <c r="AE227" s="198"/>
      <c r="AF227" s="198"/>
      <c r="AG227" s="198"/>
      <c r="AH227" s="198"/>
    </row>
    <row r="228" ht="15.75" customHeight="1">
      <c r="A228" s="198"/>
      <c r="B228" s="198"/>
      <c r="C228" s="198"/>
      <c r="D228" s="198"/>
      <c r="E228" s="198"/>
      <c r="F228" s="198"/>
      <c r="G228" s="199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9"/>
      <c r="W228" s="198"/>
      <c r="X228" s="198"/>
      <c r="Y228" s="198"/>
      <c r="Z228" s="198"/>
      <c r="AA228" s="198"/>
      <c r="AB228" s="198"/>
      <c r="AC228" s="198"/>
      <c r="AD228" s="198"/>
      <c r="AE228" s="198"/>
      <c r="AF228" s="198"/>
      <c r="AG228" s="198"/>
      <c r="AH228" s="198"/>
    </row>
    <row r="229" ht="15.75" customHeight="1">
      <c r="A229" s="198"/>
      <c r="B229" s="198"/>
      <c r="C229" s="198"/>
      <c r="D229" s="198"/>
      <c r="E229" s="198"/>
      <c r="F229" s="198"/>
      <c r="G229" s="199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9"/>
      <c r="W229" s="198"/>
      <c r="X229" s="198"/>
      <c r="Y229" s="198"/>
      <c r="Z229" s="198"/>
      <c r="AA229" s="198"/>
      <c r="AB229" s="198"/>
      <c r="AC229" s="198"/>
      <c r="AD229" s="198"/>
      <c r="AE229" s="198"/>
      <c r="AF229" s="198"/>
      <c r="AG229" s="198"/>
      <c r="AH229" s="198"/>
    </row>
    <row r="230" ht="15.75" customHeight="1">
      <c r="A230" s="198"/>
      <c r="B230" s="198"/>
      <c r="C230" s="198"/>
      <c r="D230" s="198"/>
      <c r="E230" s="198"/>
      <c r="F230" s="198"/>
      <c r="G230" s="199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9"/>
      <c r="W230" s="198"/>
      <c r="X230" s="198"/>
      <c r="Y230" s="198"/>
      <c r="Z230" s="198"/>
      <c r="AA230" s="198"/>
      <c r="AB230" s="198"/>
      <c r="AC230" s="198"/>
      <c r="AD230" s="198"/>
      <c r="AE230" s="198"/>
      <c r="AF230" s="198"/>
      <c r="AG230" s="198"/>
      <c r="AH230" s="198"/>
    </row>
    <row r="231" ht="15.75" customHeight="1">
      <c r="A231" s="198"/>
      <c r="B231" s="198"/>
      <c r="C231" s="198"/>
      <c r="D231" s="198"/>
      <c r="E231" s="198"/>
      <c r="F231" s="198"/>
      <c r="G231" s="199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9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</row>
    <row r="232" ht="15.75" customHeight="1">
      <c r="A232" s="198"/>
      <c r="B232" s="198"/>
      <c r="C232" s="198"/>
      <c r="D232" s="198"/>
      <c r="E232" s="198"/>
      <c r="F232" s="198"/>
      <c r="G232" s="199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9"/>
      <c r="W232" s="198"/>
      <c r="X232" s="198"/>
      <c r="Y232" s="198"/>
      <c r="Z232" s="198"/>
      <c r="AA232" s="198"/>
      <c r="AB232" s="198"/>
      <c r="AC232" s="198"/>
      <c r="AD232" s="198"/>
      <c r="AE232" s="198"/>
      <c r="AF232" s="198"/>
      <c r="AG232" s="198"/>
      <c r="AH232" s="198"/>
    </row>
    <row r="233" ht="15.75" customHeight="1">
      <c r="A233" s="198"/>
      <c r="B233" s="198"/>
      <c r="C233" s="198"/>
      <c r="D233" s="198"/>
      <c r="E233" s="198"/>
      <c r="F233" s="198"/>
      <c r="G233" s="199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9"/>
      <c r="W233" s="198"/>
      <c r="X233" s="198"/>
      <c r="Y233" s="198"/>
      <c r="Z233" s="198"/>
      <c r="AA233" s="198"/>
      <c r="AB233" s="198"/>
      <c r="AC233" s="198"/>
      <c r="AD233" s="198"/>
      <c r="AE233" s="198"/>
      <c r="AF233" s="198"/>
      <c r="AG233" s="198"/>
      <c r="AH233" s="198"/>
    </row>
    <row r="234" ht="15.75" customHeight="1">
      <c r="A234" s="198"/>
      <c r="B234" s="198"/>
      <c r="C234" s="198"/>
      <c r="D234" s="198"/>
      <c r="E234" s="198"/>
      <c r="F234" s="198"/>
      <c r="G234" s="199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9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</row>
    <row r="235" ht="15.75" customHeight="1">
      <c r="A235" s="198"/>
      <c r="B235" s="198"/>
      <c r="C235" s="198"/>
      <c r="D235" s="198"/>
      <c r="E235" s="198"/>
      <c r="F235" s="198"/>
      <c r="G235" s="199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9"/>
      <c r="W235" s="198"/>
      <c r="X235" s="198"/>
      <c r="Y235" s="198"/>
      <c r="Z235" s="198"/>
      <c r="AA235" s="198"/>
      <c r="AB235" s="198"/>
      <c r="AC235" s="198"/>
      <c r="AD235" s="198"/>
      <c r="AE235" s="198"/>
      <c r="AF235" s="198"/>
      <c r="AG235" s="198"/>
      <c r="AH235" s="198"/>
    </row>
    <row r="236" ht="15.75" customHeight="1">
      <c r="A236" s="198"/>
      <c r="B236" s="198"/>
      <c r="C236" s="198"/>
      <c r="D236" s="198"/>
      <c r="E236" s="198"/>
      <c r="F236" s="198"/>
      <c r="G236" s="199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9"/>
      <c r="W236" s="198"/>
      <c r="X236" s="198"/>
      <c r="Y236" s="198"/>
      <c r="Z236" s="198"/>
      <c r="AA236" s="198"/>
      <c r="AB236" s="198"/>
      <c r="AC236" s="198"/>
      <c r="AD236" s="198"/>
      <c r="AE236" s="198"/>
      <c r="AF236" s="198"/>
      <c r="AG236" s="198"/>
      <c r="AH236" s="198"/>
    </row>
    <row r="237" ht="15.75" customHeight="1">
      <c r="A237" s="198"/>
      <c r="B237" s="198"/>
      <c r="C237" s="198"/>
      <c r="D237" s="198"/>
      <c r="E237" s="198"/>
      <c r="F237" s="198"/>
      <c r="G237" s="199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9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</row>
    <row r="238" ht="15.75" customHeight="1">
      <c r="A238" s="198"/>
      <c r="B238" s="198"/>
      <c r="C238" s="198"/>
      <c r="D238" s="198"/>
      <c r="E238" s="198"/>
      <c r="F238" s="198"/>
      <c r="G238" s="199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9"/>
      <c r="W238" s="198"/>
      <c r="X238" s="198"/>
      <c r="Y238" s="198"/>
      <c r="Z238" s="198"/>
      <c r="AA238" s="198"/>
      <c r="AB238" s="198"/>
      <c r="AC238" s="198"/>
      <c r="AD238" s="198"/>
      <c r="AE238" s="198"/>
      <c r="AF238" s="198"/>
      <c r="AG238" s="198"/>
      <c r="AH238" s="198"/>
    </row>
    <row r="239" ht="15.75" customHeight="1">
      <c r="A239" s="198"/>
      <c r="B239" s="198"/>
      <c r="C239" s="198"/>
      <c r="D239" s="198"/>
      <c r="E239" s="198"/>
      <c r="F239" s="198"/>
      <c r="G239" s="199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9"/>
      <c r="W239" s="198"/>
      <c r="X239" s="198"/>
      <c r="Y239" s="198"/>
      <c r="Z239" s="198"/>
      <c r="AA239" s="198"/>
      <c r="AB239" s="198"/>
      <c r="AC239" s="198"/>
      <c r="AD239" s="198"/>
      <c r="AE239" s="198"/>
      <c r="AF239" s="198"/>
      <c r="AG239" s="198"/>
      <c r="AH239" s="198"/>
    </row>
    <row r="240" ht="15.75" customHeight="1">
      <c r="A240" s="198"/>
      <c r="B240" s="198"/>
      <c r="C240" s="198"/>
      <c r="D240" s="198"/>
      <c r="E240" s="198"/>
      <c r="F240" s="198"/>
      <c r="G240" s="199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9"/>
      <c r="W240" s="198"/>
      <c r="X240" s="198"/>
      <c r="Y240" s="198"/>
      <c r="Z240" s="198"/>
      <c r="AA240" s="198"/>
      <c r="AB240" s="198"/>
      <c r="AC240" s="198"/>
      <c r="AD240" s="198"/>
      <c r="AE240" s="198"/>
      <c r="AF240" s="198"/>
      <c r="AG240" s="198"/>
      <c r="AH240" s="198"/>
    </row>
    <row r="241" ht="15.75" customHeight="1">
      <c r="A241" s="198"/>
      <c r="B241" s="198"/>
      <c r="C241" s="198"/>
      <c r="D241" s="198"/>
      <c r="E241" s="198"/>
      <c r="F241" s="198"/>
      <c r="G241" s="199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9"/>
      <c r="W241" s="198"/>
      <c r="X241" s="198"/>
      <c r="Y241" s="198"/>
      <c r="Z241" s="198"/>
      <c r="AA241" s="198"/>
      <c r="AB241" s="198"/>
      <c r="AC241" s="198"/>
      <c r="AD241" s="198"/>
      <c r="AE241" s="198"/>
      <c r="AF241" s="198"/>
      <c r="AG241" s="198"/>
      <c r="AH241" s="198"/>
    </row>
    <row r="242" ht="15.75" customHeight="1">
      <c r="A242" s="198"/>
      <c r="B242" s="198"/>
      <c r="C242" s="198"/>
      <c r="D242" s="198"/>
      <c r="E242" s="198"/>
      <c r="F242" s="198"/>
      <c r="G242" s="199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9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</row>
    <row r="243" ht="15.75" customHeight="1">
      <c r="A243" s="198"/>
      <c r="B243" s="198"/>
      <c r="C243" s="198"/>
      <c r="D243" s="198"/>
      <c r="E243" s="198"/>
      <c r="F243" s="198"/>
      <c r="G243" s="199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9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</row>
    <row r="244" ht="15.75" customHeight="1">
      <c r="A244" s="198"/>
      <c r="B244" s="198"/>
      <c r="C244" s="198"/>
      <c r="D244" s="198"/>
      <c r="E244" s="198"/>
      <c r="F244" s="198"/>
      <c r="G244" s="199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9"/>
      <c r="W244" s="198"/>
      <c r="X244" s="198"/>
      <c r="Y244" s="198"/>
      <c r="Z244" s="198"/>
      <c r="AA244" s="198"/>
      <c r="AB244" s="198"/>
      <c r="AC244" s="198"/>
      <c r="AD244" s="198"/>
      <c r="AE244" s="198"/>
      <c r="AF244" s="198"/>
      <c r="AG244" s="198"/>
      <c r="AH244" s="198"/>
    </row>
    <row r="245" ht="15.75" customHeight="1">
      <c r="A245" s="198"/>
      <c r="B245" s="198"/>
      <c r="C245" s="198"/>
      <c r="D245" s="198"/>
      <c r="E245" s="198"/>
      <c r="F245" s="198"/>
      <c r="G245" s="199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9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24">
    <mergeCell ref="N2:R2"/>
    <mergeCell ref="M4:R4"/>
    <mergeCell ref="M5:R5"/>
    <mergeCell ref="A1:B1"/>
    <mergeCell ref="C1:D1"/>
    <mergeCell ref="E1:M1"/>
    <mergeCell ref="N1:R1"/>
    <mergeCell ref="C2:D2"/>
    <mergeCell ref="E2:M2"/>
    <mergeCell ref="C3:R3"/>
    <mergeCell ref="C5:D5"/>
    <mergeCell ref="E5:I5"/>
    <mergeCell ref="B33:D33"/>
    <mergeCell ref="B42:D42"/>
    <mergeCell ref="B43:D43"/>
    <mergeCell ref="B44:D44"/>
    <mergeCell ref="B45:D45"/>
    <mergeCell ref="A2:B2"/>
    <mergeCell ref="A3:B3"/>
    <mergeCell ref="A4:B4"/>
    <mergeCell ref="C4:D4"/>
    <mergeCell ref="E4:I4"/>
    <mergeCell ref="J4:L4"/>
    <mergeCell ref="A5:B5"/>
  </mergeCells>
  <dataValidations>
    <dataValidation type="list" allowBlank="1" showInputMessage="1" showErrorMessage="1" prompt=" - " sqref="E43:Q43">
      <formula1>"P,F"</formula1>
    </dataValidation>
    <dataValidation type="list" allowBlank="1" showInputMessage="1" showErrorMessage="1" prompt=" - " sqref="E8:Q41">
      <formula1>"O"</formula1>
    </dataValidation>
    <dataValidation type="list" allowBlank="1" showInputMessage="1" showErrorMessage="1" prompt=" - " sqref="E42:Q42">
      <formula1>"N,A,B"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9.25"/>
    <col customWidth="1" min="4" max="4" width="22.88"/>
    <col customWidth="1" min="5" max="25" width="4.88"/>
  </cols>
  <sheetData>
    <row r="1">
      <c r="A1" s="159" t="s">
        <v>195</v>
      </c>
      <c r="B1" s="160"/>
      <c r="C1" s="161" t="s">
        <v>331</v>
      </c>
      <c r="D1" s="162"/>
      <c r="E1" s="163" t="s">
        <v>197</v>
      </c>
      <c r="F1" s="160"/>
      <c r="G1" s="160"/>
      <c r="H1" s="160"/>
      <c r="I1" s="160"/>
      <c r="J1" s="160"/>
      <c r="K1" s="160"/>
      <c r="L1" s="160"/>
      <c r="M1" s="160"/>
      <c r="N1" s="164" t="s">
        <v>198</v>
      </c>
      <c r="O1" s="160"/>
      <c r="P1" s="160"/>
      <c r="Q1" s="160"/>
      <c r="R1" s="165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</row>
    <row r="2">
      <c r="A2" s="168" t="s">
        <v>199</v>
      </c>
      <c r="B2" s="169"/>
      <c r="C2" s="170" t="s">
        <v>159</v>
      </c>
      <c r="D2" s="169"/>
      <c r="E2" s="171" t="s">
        <v>200</v>
      </c>
      <c r="F2" s="172"/>
      <c r="G2" s="172"/>
      <c r="H2" s="172"/>
      <c r="I2" s="172"/>
      <c r="J2" s="172"/>
      <c r="K2" s="172"/>
      <c r="L2" s="172"/>
      <c r="M2" s="173"/>
      <c r="N2" s="174" t="s">
        <v>159</v>
      </c>
      <c r="O2" s="172"/>
      <c r="P2" s="172"/>
      <c r="Q2" s="172"/>
      <c r="R2" s="175"/>
      <c r="S2" s="178"/>
      <c r="T2" s="178"/>
      <c r="U2" s="178"/>
      <c r="V2" s="178"/>
      <c r="W2" s="178"/>
      <c r="X2" s="178"/>
      <c r="Y2" s="178"/>
      <c r="Z2" s="260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</row>
    <row r="3">
      <c r="A3" s="179" t="s">
        <v>201</v>
      </c>
      <c r="B3" s="17"/>
      <c r="C3" s="180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81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</row>
    <row r="4">
      <c r="A4" s="183" t="s">
        <v>164</v>
      </c>
      <c r="B4" s="17"/>
      <c r="C4" s="184" t="s">
        <v>165</v>
      </c>
      <c r="D4" s="17"/>
      <c r="E4" s="184" t="s">
        <v>166</v>
      </c>
      <c r="F4" s="16"/>
      <c r="G4" s="16"/>
      <c r="H4" s="16"/>
      <c r="I4" s="16"/>
      <c r="J4" s="185" t="s">
        <v>202</v>
      </c>
      <c r="K4" s="16"/>
      <c r="L4" s="16"/>
      <c r="M4" s="184" t="s">
        <v>169</v>
      </c>
      <c r="N4" s="16"/>
      <c r="O4" s="16"/>
      <c r="P4" s="16"/>
      <c r="Q4" s="16"/>
      <c r="R4" s="181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</row>
    <row r="5">
      <c r="A5" s="188">
        <f>COUNTIF(E33:IE33,"P")</f>
        <v>13</v>
      </c>
      <c r="B5" s="189"/>
      <c r="C5" s="190">
        <f>COUNTIF(E33:IE33,"F")</f>
        <v>0</v>
      </c>
      <c r="D5" s="189"/>
      <c r="E5" s="191">
        <f>SUM(M5,-A5,-C5)</f>
        <v>0</v>
      </c>
      <c r="F5" s="192"/>
      <c r="G5" s="192"/>
      <c r="H5" s="192"/>
      <c r="I5" s="192"/>
      <c r="J5" s="193">
        <f>COUNTIF(A32:IA32,"N")</f>
        <v>2</v>
      </c>
      <c r="K5" s="193">
        <f>COUNTIF(B32:IB32,"A")</f>
        <v>9</v>
      </c>
      <c r="L5" s="193">
        <f>COUNTIF(C32:IC32,"B")</f>
        <v>2</v>
      </c>
      <c r="M5" s="190">
        <f>COUNTA(A7:HS7)</f>
        <v>13</v>
      </c>
      <c r="N5" s="192"/>
      <c r="O5" s="192"/>
      <c r="P5" s="192"/>
      <c r="Q5" s="192"/>
      <c r="R5" s="194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</row>
    <row r="6">
      <c r="A6" s="198"/>
      <c r="B6" s="198"/>
      <c r="C6" s="198"/>
      <c r="D6" s="198"/>
      <c r="E6" s="198"/>
      <c r="F6" s="198"/>
      <c r="G6" s="199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9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</row>
    <row r="7" ht="48.0" customHeight="1">
      <c r="A7" s="200"/>
      <c r="B7" s="201"/>
      <c r="C7" s="201"/>
      <c r="D7" s="201"/>
      <c r="E7" s="202" t="s">
        <v>203</v>
      </c>
      <c r="F7" s="202" t="s">
        <v>204</v>
      </c>
      <c r="G7" s="202" t="s">
        <v>205</v>
      </c>
      <c r="H7" s="202" t="s">
        <v>206</v>
      </c>
      <c r="I7" s="202" t="s">
        <v>207</v>
      </c>
      <c r="J7" s="202" t="s">
        <v>208</v>
      </c>
      <c r="K7" s="202" t="s">
        <v>209</v>
      </c>
      <c r="L7" s="202" t="s">
        <v>210</v>
      </c>
      <c r="M7" s="202" t="s">
        <v>211</v>
      </c>
      <c r="N7" s="202" t="s">
        <v>212</v>
      </c>
      <c r="O7" s="202" t="s">
        <v>213</v>
      </c>
      <c r="P7" s="202" t="s">
        <v>214</v>
      </c>
      <c r="Q7" s="202" t="s">
        <v>215</v>
      </c>
      <c r="R7" s="202"/>
      <c r="S7" s="198"/>
      <c r="T7" s="198"/>
      <c r="U7" s="198"/>
      <c r="V7" s="198"/>
      <c r="W7" s="198"/>
      <c r="X7" s="198"/>
      <c r="Y7" s="198"/>
      <c r="Z7" s="199"/>
      <c r="AA7" s="199"/>
      <c r="AB7" s="199"/>
      <c r="AC7" s="198"/>
      <c r="AD7" s="198"/>
      <c r="AE7" s="198"/>
      <c r="AF7" s="203"/>
      <c r="AG7" s="203"/>
      <c r="AH7" s="203"/>
      <c r="AI7" s="203"/>
      <c r="AJ7" s="203"/>
      <c r="AK7" s="203"/>
      <c r="AL7" s="203"/>
    </row>
    <row r="8">
      <c r="A8" s="204" t="s">
        <v>219</v>
      </c>
      <c r="B8" s="205" t="s">
        <v>220</v>
      </c>
      <c r="C8" s="262"/>
      <c r="D8" s="263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198"/>
      <c r="T8" s="198"/>
      <c r="U8" s="198"/>
      <c r="V8" s="198"/>
      <c r="W8" s="198"/>
      <c r="X8" s="198"/>
      <c r="Y8" s="198"/>
      <c r="Z8" s="199"/>
      <c r="AA8" s="199"/>
      <c r="AB8" s="199"/>
      <c r="AC8" s="199"/>
      <c r="AD8" s="199"/>
      <c r="AE8" s="199"/>
      <c r="AF8" s="265"/>
      <c r="AG8" s="265"/>
      <c r="AH8" s="265"/>
      <c r="AI8" s="265"/>
      <c r="AJ8" s="265"/>
      <c r="AK8" s="265"/>
      <c r="AL8" s="265"/>
    </row>
    <row r="9">
      <c r="A9" s="266"/>
      <c r="B9" s="267"/>
      <c r="C9" s="268"/>
      <c r="D9" s="213" t="s">
        <v>221</v>
      </c>
      <c r="E9" s="214" t="s">
        <v>222</v>
      </c>
      <c r="F9" s="214" t="s">
        <v>222</v>
      </c>
      <c r="G9" s="214" t="s">
        <v>222</v>
      </c>
      <c r="H9" s="214" t="s">
        <v>222</v>
      </c>
      <c r="I9" s="214" t="s">
        <v>222</v>
      </c>
      <c r="J9" s="233" t="s">
        <v>222</v>
      </c>
      <c r="K9" s="233" t="s">
        <v>222</v>
      </c>
      <c r="L9" s="214"/>
      <c r="M9" s="214"/>
      <c r="N9" s="214"/>
      <c r="O9" s="214"/>
      <c r="P9" s="214"/>
      <c r="Q9" s="214"/>
      <c r="R9" s="214"/>
      <c r="S9" s="198"/>
      <c r="T9" s="198"/>
      <c r="U9" s="198"/>
      <c r="V9" s="198"/>
      <c r="W9" s="198"/>
      <c r="X9" s="198"/>
      <c r="Y9" s="198"/>
      <c r="Z9" s="199"/>
      <c r="AA9" s="199"/>
      <c r="AB9" s="199"/>
      <c r="AC9" s="199"/>
      <c r="AD9" s="199"/>
      <c r="AE9" s="199"/>
      <c r="AF9" s="265"/>
      <c r="AG9" s="265"/>
      <c r="AH9" s="265"/>
      <c r="AI9" s="265"/>
      <c r="AJ9" s="265"/>
      <c r="AK9" s="265"/>
      <c r="AL9" s="265"/>
    </row>
    <row r="10">
      <c r="A10" s="266"/>
      <c r="B10" s="215" t="s">
        <v>314</v>
      </c>
      <c r="C10" s="268"/>
      <c r="D10" s="303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198"/>
      <c r="T10" s="198"/>
      <c r="U10" s="198"/>
      <c r="V10" s="198"/>
      <c r="W10" s="198"/>
      <c r="X10" s="198"/>
      <c r="Y10" s="198"/>
      <c r="Z10" s="199"/>
      <c r="AA10" s="199"/>
      <c r="AB10" s="199"/>
      <c r="AC10" s="199"/>
      <c r="AD10" s="199"/>
      <c r="AE10" s="199"/>
      <c r="AF10" s="265"/>
      <c r="AG10" s="265"/>
      <c r="AH10" s="265"/>
      <c r="AI10" s="265"/>
      <c r="AJ10" s="265"/>
      <c r="AK10" s="265"/>
      <c r="AL10" s="265"/>
    </row>
    <row r="11">
      <c r="A11" s="266"/>
      <c r="B11" s="304"/>
      <c r="C11" s="305" t="s">
        <v>310</v>
      </c>
      <c r="D11" s="218">
        <v>1.0</v>
      </c>
      <c r="E11" s="209" t="s">
        <v>222</v>
      </c>
      <c r="F11" s="330" t="s">
        <v>222</v>
      </c>
      <c r="G11" s="330" t="s">
        <v>222</v>
      </c>
      <c r="H11" s="330" t="s">
        <v>222</v>
      </c>
      <c r="I11" s="209"/>
      <c r="J11" s="209"/>
      <c r="K11" s="209"/>
      <c r="L11" s="209"/>
      <c r="M11" s="209"/>
      <c r="N11" s="209"/>
      <c r="O11" s="209"/>
      <c r="P11" s="209"/>
      <c r="Q11" s="214"/>
      <c r="R11" s="214"/>
      <c r="S11" s="198"/>
      <c r="T11" s="198"/>
      <c r="U11" s="198"/>
      <c r="V11" s="198"/>
      <c r="W11" s="198"/>
      <c r="X11" s="198"/>
      <c r="Y11" s="198"/>
      <c r="Z11" s="199"/>
      <c r="AA11" s="199"/>
      <c r="AB11" s="199"/>
      <c r="AC11" s="199"/>
      <c r="AD11" s="199"/>
      <c r="AE11" s="199"/>
      <c r="AF11" s="265"/>
      <c r="AG11" s="265"/>
      <c r="AH11" s="265"/>
      <c r="AI11" s="265"/>
      <c r="AJ11" s="265"/>
      <c r="AK11" s="265"/>
      <c r="AL11" s="265"/>
    </row>
    <row r="12">
      <c r="A12" s="266"/>
      <c r="B12" s="304"/>
      <c r="C12" s="305" t="s">
        <v>364</v>
      </c>
      <c r="D12" s="218">
        <v>2.0</v>
      </c>
      <c r="E12" s="209"/>
      <c r="F12" s="330"/>
      <c r="G12" s="330"/>
      <c r="H12" s="209"/>
      <c r="I12" s="330" t="s">
        <v>222</v>
      </c>
      <c r="J12" s="209"/>
      <c r="K12" s="209"/>
      <c r="L12" s="209"/>
      <c r="M12" s="209"/>
      <c r="N12" s="209"/>
      <c r="O12" s="209"/>
      <c r="P12" s="209"/>
      <c r="Q12" s="214"/>
      <c r="R12" s="214"/>
      <c r="S12" s="198"/>
      <c r="T12" s="198"/>
      <c r="U12" s="198"/>
      <c r="V12" s="198"/>
      <c r="W12" s="198"/>
      <c r="X12" s="198"/>
      <c r="Y12" s="198"/>
      <c r="Z12" s="199"/>
      <c r="AA12" s="199"/>
      <c r="AB12" s="199"/>
      <c r="AC12" s="199"/>
      <c r="AD12" s="199"/>
      <c r="AE12" s="199"/>
      <c r="AF12" s="265"/>
      <c r="AG12" s="265"/>
      <c r="AH12" s="265"/>
      <c r="AI12" s="265"/>
      <c r="AJ12" s="265"/>
      <c r="AK12" s="265"/>
      <c r="AL12" s="265"/>
    </row>
    <row r="13">
      <c r="A13" s="266"/>
      <c r="B13" s="221"/>
      <c r="C13" s="305" t="s">
        <v>333</v>
      </c>
      <c r="D13" s="218">
        <v>999.0</v>
      </c>
      <c r="E13" s="209"/>
      <c r="F13" s="330"/>
      <c r="G13" s="209"/>
      <c r="H13" s="330"/>
      <c r="I13" s="209"/>
      <c r="J13" s="330" t="s">
        <v>222</v>
      </c>
      <c r="K13" s="209"/>
      <c r="L13" s="209"/>
      <c r="M13" s="209"/>
      <c r="N13" s="209"/>
      <c r="O13" s="209"/>
      <c r="P13" s="209"/>
      <c r="Q13" s="209"/>
      <c r="R13" s="209"/>
      <c r="S13" s="198"/>
      <c r="T13" s="198"/>
      <c r="U13" s="198"/>
      <c r="V13" s="198"/>
      <c r="W13" s="198"/>
      <c r="X13" s="198"/>
      <c r="Y13" s="198"/>
      <c r="Z13" s="199"/>
      <c r="AA13" s="199"/>
      <c r="AB13" s="199"/>
      <c r="AC13" s="199"/>
      <c r="AD13" s="199"/>
      <c r="AE13" s="199"/>
      <c r="AF13" s="265"/>
      <c r="AG13" s="265"/>
      <c r="AH13" s="265"/>
      <c r="AI13" s="265"/>
      <c r="AJ13" s="265"/>
      <c r="AK13" s="265"/>
      <c r="AL13" s="265"/>
    </row>
    <row r="14">
      <c r="A14" s="266"/>
      <c r="B14" s="221"/>
      <c r="C14" s="305" t="s">
        <v>334</v>
      </c>
      <c r="D14" s="218" t="s">
        <v>262</v>
      </c>
      <c r="E14" s="209"/>
      <c r="F14" s="209"/>
      <c r="G14" s="209"/>
      <c r="H14" s="330"/>
      <c r="I14" s="330"/>
      <c r="J14" s="209"/>
      <c r="K14" s="330" t="s">
        <v>222</v>
      </c>
      <c r="L14" s="330" t="s">
        <v>222</v>
      </c>
      <c r="M14" s="209"/>
      <c r="N14" s="209"/>
      <c r="O14" s="209"/>
      <c r="P14" s="209"/>
      <c r="Q14" s="209"/>
      <c r="R14" s="209"/>
      <c r="S14" s="198"/>
      <c r="T14" s="198"/>
      <c r="U14" s="198"/>
      <c r="V14" s="198"/>
      <c r="W14" s="198"/>
      <c r="X14" s="198"/>
      <c r="Y14" s="198"/>
      <c r="Z14" s="199"/>
      <c r="AA14" s="199"/>
      <c r="AB14" s="199"/>
      <c r="AC14" s="199"/>
      <c r="AD14" s="199"/>
      <c r="AE14" s="199"/>
      <c r="AF14" s="265"/>
      <c r="AG14" s="265"/>
      <c r="AH14" s="265"/>
      <c r="AI14" s="265"/>
      <c r="AJ14" s="265"/>
      <c r="AK14" s="265"/>
      <c r="AL14" s="265"/>
    </row>
    <row r="15">
      <c r="A15" s="266"/>
      <c r="B15" s="221"/>
      <c r="C15" s="217" t="s">
        <v>335</v>
      </c>
      <c r="D15" s="218" t="s">
        <v>297</v>
      </c>
      <c r="E15" s="209"/>
      <c r="F15" s="209"/>
      <c r="G15" s="209"/>
      <c r="H15" s="209"/>
      <c r="I15" s="330"/>
      <c r="J15" s="330"/>
      <c r="K15" s="209"/>
      <c r="L15" s="209"/>
      <c r="M15" s="209"/>
      <c r="N15" s="209"/>
      <c r="O15" s="209"/>
      <c r="P15" s="209"/>
      <c r="Q15" s="209"/>
      <c r="R15" s="209"/>
      <c r="S15" s="198"/>
      <c r="T15" s="198"/>
      <c r="U15" s="198"/>
      <c r="V15" s="198"/>
      <c r="W15" s="198"/>
      <c r="X15" s="198"/>
      <c r="Y15" s="198"/>
      <c r="Z15" s="199"/>
      <c r="AA15" s="199"/>
      <c r="AB15" s="199"/>
      <c r="AC15" s="199"/>
      <c r="AD15" s="199"/>
      <c r="AE15" s="199"/>
      <c r="AF15" s="265"/>
      <c r="AG15" s="265"/>
      <c r="AH15" s="265"/>
      <c r="AI15" s="265"/>
      <c r="AJ15" s="265"/>
      <c r="AK15" s="265"/>
      <c r="AL15" s="265"/>
    </row>
    <row r="16">
      <c r="A16" s="266"/>
      <c r="B16" s="215" t="s">
        <v>320</v>
      </c>
      <c r="C16" s="268"/>
      <c r="D16" s="303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198"/>
      <c r="T16" s="198"/>
      <c r="U16" s="198"/>
      <c r="V16" s="198"/>
      <c r="W16" s="198"/>
      <c r="X16" s="198"/>
      <c r="Y16" s="198"/>
      <c r="Z16" s="199"/>
      <c r="AA16" s="199"/>
      <c r="AB16" s="199"/>
      <c r="AC16" s="199"/>
      <c r="AD16" s="199"/>
      <c r="AE16" s="199"/>
      <c r="AF16" s="265"/>
      <c r="AG16" s="265"/>
      <c r="AH16" s="265"/>
      <c r="AI16" s="265"/>
      <c r="AJ16" s="265"/>
      <c r="AK16" s="265"/>
      <c r="AL16" s="265"/>
    </row>
    <row r="17">
      <c r="A17" s="266"/>
      <c r="B17" s="304"/>
      <c r="C17" s="305" t="s">
        <v>365</v>
      </c>
      <c r="D17" s="218">
        <v>1.0</v>
      </c>
      <c r="E17" s="330" t="s">
        <v>222</v>
      </c>
      <c r="F17" s="209"/>
      <c r="G17" s="209"/>
      <c r="H17" s="330"/>
      <c r="I17" s="330"/>
      <c r="J17" s="330" t="s">
        <v>222</v>
      </c>
      <c r="K17" s="330" t="s">
        <v>222</v>
      </c>
      <c r="L17" s="330" t="s">
        <v>222</v>
      </c>
      <c r="M17" s="209"/>
      <c r="N17" s="209"/>
      <c r="O17" s="209"/>
      <c r="P17" s="209"/>
      <c r="Q17" s="214"/>
      <c r="R17" s="214"/>
      <c r="S17" s="198"/>
      <c r="T17" s="198"/>
      <c r="U17" s="198"/>
      <c r="V17" s="198"/>
      <c r="W17" s="198"/>
      <c r="X17" s="198"/>
      <c r="Y17" s="198"/>
      <c r="Z17" s="199"/>
      <c r="AA17" s="199"/>
      <c r="AB17" s="199"/>
      <c r="AC17" s="199"/>
      <c r="AD17" s="199"/>
      <c r="AE17" s="199"/>
      <c r="AF17" s="265"/>
      <c r="AG17" s="265"/>
      <c r="AH17" s="265"/>
      <c r="AI17" s="265"/>
      <c r="AJ17" s="265"/>
      <c r="AK17" s="265"/>
      <c r="AL17" s="265"/>
    </row>
    <row r="18">
      <c r="A18" s="266"/>
      <c r="B18" s="221"/>
      <c r="C18" s="217" t="s">
        <v>366</v>
      </c>
      <c r="D18" s="218">
        <v>4.0</v>
      </c>
      <c r="E18" s="209"/>
      <c r="F18" s="330" t="s">
        <v>222</v>
      </c>
      <c r="G18" s="209"/>
      <c r="H18" s="209"/>
      <c r="I18" s="330" t="s">
        <v>222</v>
      </c>
      <c r="J18" s="209"/>
      <c r="K18" s="209"/>
      <c r="L18" s="209"/>
      <c r="M18" s="209"/>
      <c r="N18" s="209"/>
      <c r="O18" s="209"/>
      <c r="P18" s="209"/>
      <c r="Q18" s="209"/>
      <c r="R18" s="209"/>
      <c r="S18" s="198"/>
      <c r="T18" s="198"/>
      <c r="U18" s="198"/>
      <c r="V18" s="198"/>
      <c r="W18" s="198"/>
      <c r="X18" s="198"/>
      <c r="Y18" s="198"/>
      <c r="Z18" s="199"/>
      <c r="AA18" s="199"/>
      <c r="AB18" s="199"/>
      <c r="AC18" s="199"/>
      <c r="AD18" s="199"/>
      <c r="AE18" s="199"/>
      <c r="AF18" s="265"/>
      <c r="AG18" s="265"/>
      <c r="AH18" s="265"/>
      <c r="AI18" s="265"/>
      <c r="AJ18" s="265"/>
      <c r="AK18" s="265"/>
      <c r="AL18" s="265"/>
    </row>
    <row r="19">
      <c r="A19" s="270"/>
      <c r="B19" s="221"/>
      <c r="C19" s="217" t="s">
        <v>306</v>
      </c>
      <c r="D19" s="218">
        <v>999.0</v>
      </c>
      <c r="E19" s="223"/>
      <c r="F19" s="330"/>
      <c r="G19" s="330" t="s">
        <v>222</v>
      </c>
      <c r="H19" s="209"/>
      <c r="I19" s="209"/>
      <c r="J19" s="209"/>
      <c r="K19" s="209"/>
      <c r="L19" s="223"/>
      <c r="M19" s="209"/>
      <c r="N19" s="209"/>
      <c r="O19" s="209"/>
      <c r="P19" s="209"/>
      <c r="Q19" s="209"/>
      <c r="R19" s="209"/>
      <c r="S19" s="198"/>
      <c r="T19" s="198"/>
      <c r="U19" s="198"/>
      <c r="V19" s="198"/>
      <c r="W19" s="198"/>
      <c r="X19" s="198"/>
      <c r="Y19" s="198"/>
      <c r="Z19" s="199"/>
      <c r="AA19" s="199"/>
      <c r="AB19" s="199"/>
      <c r="AC19" s="199"/>
      <c r="AD19" s="199"/>
      <c r="AE19" s="199"/>
      <c r="AF19" s="265"/>
      <c r="AG19" s="265"/>
      <c r="AH19" s="265"/>
      <c r="AI19" s="265"/>
      <c r="AJ19" s="265"/>
      <c r="AK19" s="265"/>
      <c r="AL19" s="265"/>
    </row>
    <row r="20">
      <c r="A20" s="270"/>
      <c r="B20" s="221"/>
      <c r="C20" s="217" t="s">
        <v>307</v>
      </c>
      <c r="D20" s="218" t="s">
        <v>297</v>
      </c>
      <c r="E20" s="223"/>
      <c r="F20" s="330"/>
      <c r="G20" s="209"/>
      <c r="H20" s="330" t="s">
        <v>222</v>
      </c>
      <c r="I20" s="209"/>
      <c r="J20" s="209"/>
      <c r="K20" s="209"/>
      <c r="L20" s="223"/>
      <c r="M20" s="209"/>
      <c r="N20" s="209"/>
      <c r="O20" s="209"/>
      <c r="P20" s="209"/>
      <c r="Q20" s="209"/>
      <c r="R20" s="209"/>
      <c r="S20" s="198"/>
      <c r="T20" s="198"/>
      <c r="U20" s="198"/>
      <c r="V20" s="198"/>
      <c r="W20" s="198"/>
      <c r="X20" s="198"/>
      <c r="Y20" s="198"/>
      <c r="Z20" s="199"/>
      <c r="AA20" s="199"/>
      <c r="AB20" s="199"/>
      <c r="AC20" s="199"/>
      <c r="AD20" s="199"/>
      <c r="AE20" s="199"/>
      <c r="AF20" s="265"/>
      <c r="AG20" s="265"/>
      <c r="AH20" s="265"/>
      <c r="AI20" s="265"/>
      <c r="AJ20" s="265"/>
      <c r="AK20" s="265"/>
      <c r="AL20" s="265"/>
    </row>
    <row r="21" ht="21.75" customHeight="1">
      <c r="A21" s="226" t="s">
        <v>238</v>
      </c>
      <c r="B21" s="227" t="s">
        <v>239</v>
      </c>
      <c r="C21" s="228"/>
      <c r="D21" s="229"/>
      <c r="E21" s="223"/>
      <c r="F21" s="209"/>
      <c r="G21" s="209"/>
      <c r="H21" s="209"/>
      <c r="I21" s="209"/>
      <c r="J21" s="209"/>
      <c r="K21" s="209"/>
      <c r="L21" s="223"/>
      <c r="M21" s="209"/>
      <c r="N21" s="209"/>
      <c r="O21" s="209"/>
      <c r="P21" s="209"/>
      <c r="Q21" s="209"/>
      <c r="R21" s="209"/>
      <c r="S21" s="198"/>
      <c r="T21" s="198"/>
      <c r="U21" s="198"/>
      <c r="V21" s="198"/>
      <c r="W21" s="198"/>
      <c r="X21" s="198"/>
      <c r="Y21" s="198"/>
      <c r="Z21" s="199"/>
      <c r="AA21" s="199"/>
      <c r="AB21" s="199"/>
      <c r="AC21" s="199"/>
      <c r="AD21" s="199"/>
      <c r="AE21" s="199"/>
      <c r="AF21" s="265"/>
      <c r="AG21" s="265"/>
      <c r="AH21" s="265"/>
      <c r="AI21" s="265"/>
      <c r="AJ21" s="265"/>
      <c r="AK21" s="265"/>
      <c r="AL21" s="265"/>
    </row>
    <row r="22" ht="19.5" customHeight="1">
      <c r="A22" s="307"/>
      <c r="B22" s="231"/>
      <c r="C22" s="228"/>
      <c r="D22" s="232" t="b">
        <v>1</v>
      </c>
      <c r="E22" s="332" t="s">
        <v>222</v>
      </c>
      <c r="F22" s="333" t="s">
        <v>222</v>
      </c>
      <c r="G22" s="223"/>
      <c r="H22" s="223"/>
      <c r="I22" s="223"/>
      <c r="J22" s="333" t="s">
        <v>222</v>
      </c>
      <c r="K22" s="223"/>
      <c r="L22" s="223"/>
      <c r="M22" s="223"/>
      <c r="N22" s="223"/>
      <c r="O22" s="223"/>
      <c r="P22" s="209"/>
      <c r="Q22" s="209"/>
      <c r="R22" s="209"/>
      <c r="S22" s="198"/>
      <c r="T22" s="198"/>
      <c r="U22" s="198"/>
      <c r="V22" s="198"/>
      <c r="W22" s="198"/>
      <c r="X22" s="198"/>
      <c r="Y22" s="198"/>
      <c r="Z22" s="199"/>
      <c r="AA22" s="199"/>
      <c r="AB22" s="199"/>
      <c r="AC22" s="199"/>
      <c r="AD22" s="199"/>
      <c r="AE22" s="199"/>
      <c r="AF22" s="265"/>
      <c r="AG22" s="265"/>
      <c r="AH22" s="265"/>
      <c r="AI22" s="265"/>
      <c r="AJ22" s="265"/>
      <c r="AK22" s="265"/>
      <c r="AL22" s="265"/>
    </row>
    <row r="23" ht="19.5" customHeight="1">
      <c r="A23" s="307"/>
      <c r="B23" s="234"/>
      <c r="C23" s="235"/>
      <c r="D23" s="232" t="b">
        <v>0</v>
      </c>
      <c r="E23" s="224"/>
      <c r="F23" s="209"/>
      <c r="G23" s="330" t="s">
        <v>222</v>
      </c>
      <c r="H23" s="330" t="s">
        <v>222</v>
      </c>
      <c r="I23" s="330" t="s">
        <v>222</v>
      </c>
      <c r="J23" s="330"/>
      <c r="K23" s="330" t="s">
        <v>222</v>
      </c>
      <c r="L23" s="330" t="s">
        <v>222</v>
      </c>
      <c r="M23" s="209"/>
      <c r="N23" s="209"/>
      <c r="O23" s="209"/>
      <c r="P23" s="209"/>
      <c r="Q23" s="209"/>
      <c r="R23" s="209"/>
      <c r="S23" s="198"/>
      <c r="T23" s="198"/>
      <c r="U23" s="198"/>
      <c r="V23" s="198"/>
      <c r="W23" s="198"/>
      <c r="X23" s="198"/>
      <c r="Y23" s="198"/>
      <c r="Z23" s="199"/>
      <c r="AA23" s="199"/>
      <c r="AB23" s="199"/>
      <c r="AC23" s="199"/>
      <c r="AD23" s="199"/>
      <c r="AE23" s="199"/>
      <c r="AF23" s="265"/>
      <c r="AG23" s="265"/>
      <c r="AH23" s="265"/>
      <c r="AI23" s="265"/>
      <c r="AJ23" s="265"/>
      <c r="AK23" s="265"/>
      <c r="AL23" s="265"/>
    </row>
    <row r="24" ht="21.75" customHeight="1">
      <c r="A24" s="307"/>
      <c r="B24" s="236" t="s">
        <v>240</v>
      </c>
      <c r="C24" s="277"/>
      <c r="D24" s="278"/>
      <c r="E24" s="224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09"/>
      <c r="Q24" s="209"/>
      <c r="R24" s="209"/>
      <c r="S24" s="198"/>
      <c r="T24" s="198"/>
      <c r="U24" s="198"/>
      <c r="V24" s="198"/>
      <c r="W24" s="198"/>
      <c r="X24" s="198"/>
      <c r="Y24" s="198"/>
      <c r="Z24" s="199"/>
      <c r="AA24" s="199"/>
      <c r="AB24" s="199"/>
      <c r="AC24" s="199"/>
      <c r="AD24" s="199"/>
      <c r="AE24" s="199"/>
      <c r="AF24" s="265"/>
      <c r="AG24" s="265"/>
      <c r="AH24" s="265"/>
      <c r="AI24" s="265"/>
      <c r="AJ24" s="265"/>
      <c r="AK24" s="265"/>
      <c r="AL24" s="265"/>
    </row>
    <row r="25" ht="21.75" customHeight="1">
      <c r="A25" s="307"/>
      <c r="B25" s="237"/>
      <c r="C25" s="280"/>
      <c r="D25" s="281"/>
      <c r="E25" s="224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09"/>
      <c r="Q25" s="209"/>
      <c r="R25" s="209"/>
      <c r="S25" s="198"/>
      <c r="T25" s="198"/>
      <c r="U25" s="198"/>
      <c r="V25" s="198"/>
      <c r="W25" s="198"/>
      <c r="X25" s="198"/>
      <c r="Y25" s="198"/>
      <c r="Z25" s="199"/>
      <c r="AA25" s="199"/>
      <c r="AB25" s="199"/>
      <c r="AC25" s="199"/>
      <c r="AD25" s="199"/>
      <c r="AE25" s="199"/>
      <c r="AF25" s="265"/>
      <c r="AG25" s="265"/>
      <c r="AH25" s="265"/>
      <c r="AI25" s="265"/>
      <c r="AJ25" s="265"/>
      <c r="AK25" s="265"/>
      <c r="AL25" s="265"/>
    </row>
    <row r="26" ht="21.75" customHeight="1">
      <c r="A26" s="307"/>
      <c r="B26" s="238"/>
      <c r="C26" s="16"/>
      <c r="D26" s="17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09"/>
      <c r="R26" s="209"/>
      <c r="S26" s="198"/>
      <c r="T26" s="198"/>
      <c r="U26" s="198"/>
      <c r="V26" s="198"/>
      <c r="W26" s="198"/>
      <c r="X26" s="198"/>
      <c r="Y26" s="198"/>
      <c r="Z26" s="199"/>
      <c r="AA26" s="199"/>
      <c r="AB26" s="199"/>
      <c r="AC26" s="199"/>
      <c r="AD26" s="199"/>
      <c r="AE26" s="199"/>
      <c r="AF26" s="265"/>
      <c r="AG26" s="265"/>
      <c r="AH26" s="265"/>
      <c r="AI26" s="265"/>
      <c r="AJ26" s="265"/>
      <c r="AK26" s="265"/>
      <c r="AL26" s="265"/>
    </row>
    <row r="27" ht="30.0" customHeight="1">
      <c r="A27" s="307"/>
      <c r="B27" s="227" t="s">
        <v>241</v>
      </c>
      <c r="C27" s="228"/>
      <c r="D27" s="229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209"/>
      <c r="R27" s="209"/>
      <c r="S27" s="198"/>
      <c r="T27" s="198"/>
      <c r="U27" s="198"/>
      <c r="V27" s="198"/>
      <c r="W27" s="198"/>
      <c r="X27" s="198"/>
      <c r="Y27" s="198"/>
      <c r="Z27" s="199"/>
      <c r="AA27" s="199"/>
      <c r="AB27" s="199"/>
      <c r="AC27" s="199"/>
      <c r="AD27" s="199"/>
      <c r="AE27" s="199"/>
      <c r="AF27" s="265"/>
      <c r="AG27" s="265"/>
      <c r="AH27" s="265"/>
      <c r="AI27" s="265"/>
      <c r="AJ27" s="265"/>
      <c r="AK27" s="265"/>
      <c r="AL27" s="265"/>
    </row>
    <row r="28" ht="30.75" customHeight="1">
      <c r="A28" s="310"/>
      <c r="B28" s="288"/>
      <c r="C28" s="309"/>
      <c r="D28" s="290" t="s">
        <v>367</v>
      </c>
      <c r="E28" s="332" t="s">
        <v>222</v>
      </c>
      <c r="F28" s="332" t="s">
        <v>222</v>
      </c>
      <c r="G28" s="224"/>
      <c r="H28" s="224"/>
      <c r="I28" s="224"/>
      <c r="J28" s="332" t="s">
        <v>222</v>
      </c>
      <c r="K28" s="224"/>
      <c r="L28" s="224"/>
      <c r="M28" s="224"/>
      <c r="N28" s="224"/>
      <c r="O28" s="224"/>
      <c r="P28" s="224"/>
      <c r="Q28" s="209"/>
      <c r="R28" s="209"/>
      <c r="S28" s="198"/>
      <c r="T28" s="198"/>
      <c r="U28" s="198"/>
      <c r="V28" s="198"/>
      <c r="W28" s="198"/>
      <c r="X28" s="198"/>
      <c r="Y28" s="198"/>
      <c r="Z28" s="199"/>
      <c r="AA28" s="199"/>
      <c r="AB28" s="265"/>
      <c r="AC28" s="265"/>
      <c r="AD28" s="265"/>
      <c r="AE28" s="265"/>
      <c r="AF28" s="265"/>
      <c r="AG28" s="265"/>
      <c r="AH28" s="265"/>
      <c r="AI28" s="265"/>
      <c r="AJ28" s="265"/>
      <c r="AK28" s="265"/>
      <c r="AL28" s="265"/>
    </row>
    <row r="29" ht="30.75" customHeight="1">
      <c r="A29" s="310"/>
      <c r="B29" s="283"/>
      <c r="C29" s="309"/>
      <c r="D29" s="290" t="s">
        <v>368</v>
      </c>
      <c r="E29" s="332"/>
      <c r="F29" s="332"/>
      <c r="G29" s="332" t="s">
        <v>222</v>
      </c>
      <c r="H29" s="224"/>
      <c r="I29" s="224"/>
      <c r="J29" s="224"/>
      <c r="K29" s="224"/>
      <c r="L29" s="224"/>
      <c r="M29" s="224"/>
      <c r="N29" s="224"/>
      <c r="O29" s="224"/>
      <c r="P29" s="224"/>
      <c r="Q29" s="209"/>
      <c r="R29" s="209"/>
      <c r="S29" s="198"/>
      <c r="T29" s="198"/>
      <c r="U29" s="198"/>
      <c r="V29" s="198"/>
      <c r="W29" s="198"/>
      <c r="X29" s="198"/>
      <c r="Y29" s="198"/>
      <c r="Z29" s="199"/>
      <c r="AA29" s="199"/>
      <c r="AB29" s="265"/>
      <c r="AC29" s="265"/>
      <c r="AD29" s="265"/>
      <c r="AE29" s="265"/>
      <c r="AF29" s="265"/>
      <c r="AG29" s="265"/>
      <c r="AH29" s="265"/>
      <c r="AI29" s="265"/>
      <c r="AJ29" s="265"/>
      <c r="AK29" s="265"/>
      <c r="AL29" s="265"/>
    </row>
    <row r="30" ht="33.0" customHeight="1">
      <c r="A30" s="310"/>
      <c r="B30" s="283"/>
      <c r="C30" s="309"/>
      <c r="D30" s="323" t="s">
        <v>369</v>
      </c>
      <c r="E30" s="224"/>
      <c r="F30" s="332"/>
      <c r="G30" s="224"/>
      <c r="H30" s="224"/>
      <c r="I30" s="332" t="s">
        <v>222</v>
      </c>
      <c r="J30" s="224"/>
      <c r="K30" s="224"/>
      <c r="L30" s="224"/>
      <c r="M30" s="224"/>
      <c r="N30" s="224"/>
      <c r="O30" s="224"/>
      <c r="P30" s="224"/>
      <c r="Q30" s="209"/>
      <c r="R30" s="209"/>
      <c r="S30" s="198"/>
      <c r="T30" s="198"/>
      <c r="U30" s="198"/>
      <c r="V30" s="198"/>
      <c r="W30" s="198"/>
      <c r="X30" s="198"/>
      <c r="Y30" s="198"/>
      <c r="Z30" s="199"/>
      <c r="AA30" s="199"/>
      <c r="AB30" s="265"/>
      <c r="AC30" s="265"/>
      <c r="AD30" s="265"/>
      <c r="AE30" s="265"/>
      <c r="AF30" s="265"/>
      <c r="AG30" s="265"/>
      <c r="AH30" s="265"/>
      <c r="AI30" s="265"/>
      <c r="AJ30" s="265"/>
      <c r="AK30" s="265"/>
      <c r="AL30" s="265"/>
    </row>
    <row r="31" ht="27.75" customHeight="1">
      <c r="A31" s="297"/>
      <c r="B31" s="180"/>
      <c r="C31" s="298"/>
      <c r="D31" s="326" t="s">
        <v>300</v>
      </c>
      <c r="E31" s="224"/>
      <c r="F31" s="224"/>
      <c r="G31" s="332"/>
      <c r="H31" s="332" t="s">
        <v>222</v>
      </c>
      <c r="I31" s="332"/>
      <c r="J31" s="332"/>
      <c r="K31" s="332" t="s">
        <v>222</v>
      </c>
      <c r="L31" s="332" t="s">
        <v>222</v>
      </c>
      <c r="M31" s="224"/>
      <c r="N31" s="224"/>
      <c r="O31" s="224"/>
      <c r="P31" s="224"/>
      <c r="Q31" s="209"/>
      <c r="R31" s="209"/>
      <c r="S31" s="198"/>
      <c r="T31" s="198"/>
      <c r="U31" s="198"/>
      <c r="V31" s="198"/>
      <c r="W31" s="198"/>
      <c r="X31" s="198"/>
      <c r="Y31" s="198"/>
      <c r="Z31" s="203"/>
      <c r="AA31" s="203"/>
      <c r="AB31" s="203"/>
      <c r="AC31" s="203"/>
      <c r="AD31" s="265"/>
      <c r="AE31" s="265"/>
      <c r="AF31" s="265"/>
      <c r="AG31" s="265"/>
      <c r="AH31" s="265"/>
      <c r="AI31" s="265"/>
      <c r="AJ31" s="265"/>
      <c r="AK31" s="265"/>
      <c r="AL31" s="265"/>
    </row>
    <row r="32" ht="15.75" customHeight="1">
      <c r="A32" s="226" t="s">
        <v>249</v>
      </c>
      <c r="B32" s="245" t="s">
        <v>250</v>
      </c>
      <c r="C32" s="246"/>
      <c r="D32" s="247"/>
      <c r="E32" s="248" t="s">
        <v>167</v>
      </c>
      <c r="F32" s="248" t="s">
        <v>62</v>
      </c>
      <c r="G32" s="248" t="s">
        <v>62</v>
      </c>
      <c r="H32" s="248" t="s">
        <v>62</v>
      </c>
      <c r="I32" s="248" t="s">
        <v>62</v>
      </c>
      <c r="J32" s="248" t="s">
        <v>62</v>
      </c>
      <c r="K32" s="248" t="s">
        <v>168</v>
      </c>
      <c r="L32" s="248" t="s">
        <v>167</v>
      </c>
      <c r="M32" s="248" t="s">
        <v>62</v>
      </c>
      <c r="N32" s="248" t="s">
        <v>62</v>
      </c>
      <c r="O32" s="248" t="s">
        <v>62</v>
      </c>
      <c r="P32" s="248" t="s">
        <v>168</v>
      </c>
      <c r="Q32" s="248" t="s">
        <v>62</v>
      </c>
      <c r="R32" s="248"/>
      <c r="S32" s="198"/>
      <c r="T32" s="198"/>
      <c r="U32" s="198"/>
      <c r="V32" s="198"/>
      <c r="W32" s="198"/>
      <c r="X32" s="198"/>
      <c r="Y32" s="198"/>
      <c r="Z32" s="199"/>
      <c r="AA32" s="199"/>
      <c r="AB32" s="199"/>
      <c r="AC32" s="198"/>
      <c r="AD32" s="198"/>
      <c r="AE32" s="198"/>
      <c r="AF32" s="203"/>
      <c r="AG32" s="203"/>
      <c r="AH32" s="203"/>
      <c r="AI32" s="203"/>
      <c r="AJ32" s="203"/>
      <c r="AK32" s="203"/>
      <c r="AL32" s="203"/>
    </row>
    <row r="33" ht="15.75" customHeight="1">
      <c r="A33" s="241"/>
      <c r="B33" s="249" t="s">
        <v>251</v>
      </c>
      <c r="C33" s="16"/>
      <c r="D33" s="17"/>
      <c r="E33" s="250" t="s">
        <v>252</v>
      </c>
      <c r="F33" s="250" t="s">
        <v>252</v>
      </c>
      <c r="G33" s="250" t="s">
        <v>252</v>
      </c>
      <c r="H33" s="250" t="s">
        <v>252</v>
      </c>
      <c r="I33" s="250" t="s">
        <v>252</v>
      </c>
      <c r="J33" s="250" t="s">
        <v>252</v>
      </c>
      <c r="K33" s="250" t="s">
        <v>252</v>
      </c>
      <c r="L33" s="250" t="s">
        <v>252</v>
      </c>
      <c r="M33" s="250" t="s">
        <v>252</v>
      </c>
      <c r="N33" s="250" t="s">
        <v>252</v>
      </c>
      <c r="O33" s="250" t="s">
        <v>252</v>
      </c>
      <c r="P33" s="250" t="s">
        <v>252</v>
      </c>
      <c r="Q33" s="250" t="s">
        <v>252</v>
      </c>
      <c r="R33" s="250"/>
      <c r="S33" s="198"/>
      <c r="T33" s="198"/>
      <c r="U33" s="198"/>
      <c r="V33" s="198"/>
      <c r="W33" s="198"/>
      <c r="X33" s="198"/>
      <c r="Y33" s="198"/>
      <c r="Z33" s="199"/>
      <c r="AA33" s="199"/>
      <c r="AB33" s="199"/>
      <c r="AC33" s="198"/>
      <c r="AD33" s="198"/>
      <c r="AE33" s="198"/>
      <c r="AF33" s="203"/>
      <c r="AG33" s="203"/>
      <c r="AH33" s="203"/>
      <c r="AI33" s="203"/>
      <c r="AJ33" s="203"/>
      <c r="AK33" s="203"/>
      <c r="AL33" s="203"/>
    </row>
    <row r="34" ht="15.75" customHeight="1">
      <c r="A34" s="241"/>
      <c r="B34" s="251" t="s">
        <v>253</v>
      </c>
      <c r="C34" s="16"/>
      <c r="D34" s="17"/>
      <c r="E34" s="252">
        <v>45948.0</v>
      </c>
      <c r="F34" s="252">
        <v>45948.0</v>
      </c>
      <c r="G34" s="252">
        <v>45948.0</v>
      </c>
      <c r="H34" s="252">
        <v>45948.0</v>
      </c>
      <c r="I34" s="252">
        <v>45948.0</v>
      </c>
      <c r="J34" s="252">
        <v>45948.0</v>
      </c>
      <c r="K34" s="252">
        <v>45948.0</v>
      </c>
      <c r="L34" s="252">
        <v>45948.0</v>
      </c>
      <c r="M34" s="252">
        <v>45948.0</v>
      </c>
      <c r="N34" s="252">
        <v>45948.0</v>
      </c>
      <c r="O34" s="252">
        <v>45948.0</v>
      </c>
      <c r="P34" s="252">
        <v>45948.0</v>
      </c>
      <c r="Q34" s="252">
        <v>45948.0</v>
      </c>
      <c r="R34" s="252"/>
      <c r="S34" s="198"/>
      <c r="T34" s="198"/>
      <c r="U34" s="198"/>
      <c r="V34" s="198"/>
      <c r="W34" s="198"/>
      <c r="X34" s="198"/>
      <c r="Y34" s="198"/>
      <c r="Z34" s="199"/>
      <c r="AA34" s="199"/>
      <c r="AB34" s="199"/>
      <c r="AC34" s="198"/>
      <c r="AD34" s="198"/>
      <c r="AE34" s="198"/>
      <c r="AF34" s="203"/>
      <c r="AG34" s="203"/>
      <c r="AH34" s="203"/>
      <c r="AI34" s="203"/>
      <c r="AJ34" s="203"/>
      <c r="AK34" s="203"/>
      <c r="AL34" s="203"/>
    </row>
    <row r="35" ht="74.25" customHeight="1">
      <c r="A35" s="253"/>
      <c r="B35" s="254" t="s">
        <v>254</v>
      </c>
      <c r="C35" s="255"/>
      <c r="D35" s="256"/>
      <c r="E35" s="257"/>
      <c r="F35" s="258"/>
      <c r="G35" s="259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198"/>
      <c r="T35" s="198"/>
      <c r="U35" s="198"/>
      <c r="V35" s="198"/>
      <c r="W35" s="198"/>
      <c r="X35" s="198"/>
      <c r="Y35" s="198"/>
      <c r="Z35" s="199"/>
      <c r="AA35" s="199"/>
      <c r="AB35" s="199"/>
      <c r="AC35" s="198"/>
      <c r="AD35" s="198"/>
      <c r="AE35" s="198"/>
      <c r="AF35" s="203"/>
      <c r="AG35" s="203"/>
      <c r="AH35" s="203"/>
      <c r="AI35" s="203"/>
      <c r="AJ35" s="203"/>
      <c r="AK35" s="203"/>
      <c r="AL35" s="203"/>
    </row>
    <row r="36" ht="15.75" customHeight="1">
      <c r="A36" s="198"/>
      <c r="B36" s="198"/>
      <c r="C36" s="198"/>
      <c r="D36" s="198"/>
      <c r="E36" s="198"/>
      <c r="F36" s="198"/>
      <c r="G36" s="199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9"/>
      <c r="AA36" s="199"/>
      <c r="AB36" s="199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</row>
    <row r="37" ht="15.75" customHeight="1">
      <c r="A37" s="198"/>
      <c r="B37" s="198"/>
      <c r="C37" s="198"/>
      <c r="D37" s="198"/>
      <c r="E37" s="198"/>
      <c r="F37" s="198"/>
      <c r="G37" s="199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9"/>
      <c r="AA37" s="199"/>
      <c r="AB37" s="199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</row>
    <row r="38" ht="15.75" customHeight="1">
      <c r="A38" s="198"/>
      <c r="B38" s="198"/>
      <c r="C38" s="198"/>
      <c r="D38" s="198"/>
      <c r="E38" s="198"/>
      <c r="F38" s="198"/>
      <c r="G38" s="199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9"/>
      <c r="AA38" s="199"/>
      <c r="AB38" s="199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</row>
    <row r="39" ht="15.75" customHeight="1">
      <c r="A39" s="198"/>
      <c r="B39" s="198"/>
      <c r="C39" s="198"/>
      <c r="D39" s="198"/>
      <c r="E39" s="198"/>
      <c r="F39" s="198"/>
      <c r="G39" s="199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9"/>
      <c r="AA39" s="199"/>
      <c r="AB39" s="199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</row>
    <row r="40" ht="15.75" customHeight="1">
      <c r="A40" s="198"/>
      <c r="B40" s="198"/>
      <c r="C40" s="198"/>
      <c r="D40" s="198"/>
      <c r="E40" s="198"/>
      <c r="F40" s="198"/>
      <c r="G40" s="199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9"/>
      <c r="AA40" s="199"/>
      <c r="AB40" s="199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</row>
    <row r="41" ht="15.75" customHeight="1">
      <c r="A41" s="198"/>
      <c r="B41" s="198"/>
      <c r="C41" s="198"/>
      <c r="D41" s="198"/>
      <c r="E41" s="198"/>
      <c r="F41" s="198"/>
      <c r="G41" s="199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9"/>
      <c r="AA41" s="199"/>
      <c r="AB41" s="199"/>
      <c r="AC41" s="198"/>
      <c r="AD41" s="198"/>
      <c r="AE41" s="198"/>
      <c r="AF41" s="198"/>
      <c r="AG41" s="198"/>
      <c r="AH41" s="198"/>
      <c r="AI41" s="198"/>
      <c r="AJ41" s="198"/>
      <c r="AK41" s="198"/>
      <c r="AL41" s="198"/>
    </row>
    <row r="42" ht="15.75" customHeight="1">
      <c r="A42" s="198"/>
      <c r="B42" s="198"/>
      <c r="C42" s="198"/>
      <c r="D42" s="198"/>
      <c r="E42" s="198"/>
      <c r="F42" s="198"/>
      <c r="G42" s="199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9"/>
      <c r="AA42" s="199"/>
      <c r="AB42" s="199"/>
      <c r="AC42" s="198"/>
      <c r="AD42" s="198"/>
      <c r="AE42" s="198"/>
      <c r="AF42" s="198"/>
      <c r="AG42" s="198"/>
      <c r="AH42" s="198"/>
      <c r="AI42" s="198"/>
      <c r="AJ42" s="198"/>
      <c r="AK42" s="198"/>
      <c r="AL42" s="198"/>
    </row>
    <row r="43" ht="15.75" customHeight="1">
      <c r="A43" s="198"/>
      <c r="B43" s="198"/>
      <c r="C43" s="198"/>
      <c r="D43" s="198"/>
      <c r="E43" s="198"/>
      <c r="F43" s="198"/>
      <c r="G43" s="199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9"/>
      <c r="AA43" s="199"/>
      <c r="AB43" s="199"/>
      <c r="AC43" s="198"/>
      <c r="AD43" s="198"/>
      <c r="AE43" s="198"/>
      <c r="AF43" s="198"/>
      <c r="AG43" s="198"/>
      <c r="AH43" s="198"/>
      <c r="AI43" s="198"/>
      <c r="AJ43" s="198"/>
      <c r="AK43" s="198"/>
      <c r="AL43" s="198"/>
    </row>
    <row r="44" ht="15.75" customHeight="1">
      <c r="A44" s="198"/>
      <c r="B44" s="198"/>
      <c r="C44" s="198"/>
      <c r="D44" s="198"/>
      <c r="E44" s="198"/>
      <c r="F44" s="198"/>
      <c r="G44" s="199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9"/>
      <c r="AA44" s="198"/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</row>
    <row r="45" ht="15.75" customHeight="1">
      <c r="A45" s="198"/>
      <c r="B45" s="198"/>
      <c r="C45" s="198"/>
      <c r="D45" s="198"/>
      <c r="E45" s="198"/>
      <c r="F45" s="198"/>
      <c r="G45" s="199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9"/>
      <c r="AA45" s="198"/>
      <c r="AB45" s="198"/>
      <c r="AC45" s="198"/>
      <c r="AD45" s="198"/>
      <c r="AE45" s="198"/>
      <c r="AF45" s="198"/>
      <c r="AG45" s="198"/>
      <c r="AH45" s="198"/>
      <c r="AI45" s="198"/>
      <c r="AJ45" s="198"/>
      <c r="AK45" s="198"/>
      <c r="AL45" s="198"/>
    </row>
    <row r="46" ht="15.75" customHeight="1">
      <c r="A46" s="198"/>
      <c r="B46" s="198"/>
      <c r="C46" s="198"/>
      <c r="D46" s="198"/>
      <c r="E46" s="198"/>
      <c r="F46" s="198"/>
      <c r="G46" s="199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9"/>
      <c r="AA46" s="198"/>
      <c r="AB46" s="198"/>
      <c r="AC46" s="198"/>
      <c r="AD46" s="198"/>
      <c r="AE46" s="198"/>
      <c r="AF46" s="198"/>
      <c r="AG46" s="198"/>
      <c r="AH46" s="198"/>
      <c r="AI46" s="198"/>
      <c r="AJ46" s="198"/>
      <c r="AK46" s="198"/>
      <c r="AL46" s="198"/>
    </row>
    <row r="47" ht="15.75" customHeight="1">
      <c r="A47" s="198"/>
      <c r="B47" s="198"/>
      <c r="C47" s="198"/>
      <c r="D47" s="198"/>
      <c r="E47" s="198"/>
      <c r="F47" s="198"/>
      <c r="G47" s="199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9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</row>
    <row r="48" ht="15.75" customHeight="1">
      <c r="A48" s="198"/>
      <c r="B48" s="198"/>
      <c r="C48" s="198"/>
      <c r="D48" s="198"/>
      <c r="E48" s="198"/>
      <c r="F48" s="198"/>
      <c r="G48" s="199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9"/>
      <c r="AA48" s="198"/>
      <c r="AB48" s="198"/>
      <c r="AC48" s="198"/>
      <c r="AD48" s="198"/>
      <c r="AE48" s="198"/>
      <c r="AF48" s="198"/>
      <c r="AG48" s="198"/>
      <c r="AH48" s="198"/>
      <c r="AI48" s="198"/>
      <c r="AJ48" s="198"/>
      <c r="AK48" s="198"/>
      <c r="AL48" s="198"/>
    </row>
    <row r="49" ht="15.75" customHeight="1">
      <c r="A49" s="198"/>
      <c r="B49" s="198"/>
      <c r="C49" s="198"/>
      <c r="D49" s="198"/>
      <c r="E49" s="198"/>
      <c r="F49" s="198"/>
      <c r="G49" s="199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9"/>
      <c r="AA49" s="198"/>
      <c r="AB49" s="198"/>
      <c r="AC49" s="198"/>
      <c r="AD49" s="198"/>
      <c r="AE49" s="198"/>
      <c r="AF49" s="198"/>
      <c r="AG49" s="198"/>
      <c r="AH49" s="198"/>
      <c r="AI49" s="198"/>
      <c r="AJ49" s="198"/>
      <c r="AK49" s="198"/>
      <c r="AL49" s="198"/>
    </row>
    <row r="50" ht="15.75" customHeight="1">
      <c r="A50" s="198"/>
      <c r="B50" s="198"/>
      <c r="C50" s="198"/>
      <c r="D50" s="198"/>
      <c r="E50" s="198"/>
      <c r="F50" s="198"/>
      <c r="G50" s="199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9"/>
      <c r="AA50" s="198"/>
      <c r="AB50" s="198"/>
      <c r="AC50" s="198"/>
      <c r="AD50" s="198"/>
      <c r="AE50" s="198"/>
      <c r="AF50" s="198"/>
      <c r="AG50" s="198"/>
      <c r="AH50" s="198"/>
      <c r="AI50" s="198"/>
      <c r="AJ50" s="198"/>
      <c r="AK50" s="198"/>
      <c r="AL50" s="198"/>
    </row>
    <row r="51" ht="15.75" customHeight="1">
      <c r="A51" s="198"/>
      <c r="B51" s="198"/>
      <c r="C51" s="198"/>
      <c r="D51" s="198"/>
      <c r="E51" s="198"/>
      <c r="F51" s="198"/>
      <c r="G51" s="199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9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</row>
    <row r="52" ht="15.75" customHeight="1">
      <c r="A52" s="198"/>
      <c r="B52" s="198"/>
      <c r="C52" s="198"/>
      <c r="D52" s="198"/>
      <c r="E52" s="198"/>
      <c r="F52" s="198"/>
      <c r="G52" s="199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9"/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</row>
    <row r="53" ht="15.75" customHeight="1">
      <c r="A53" s="198"/>
      <c r="B53" s="198"/>
      <c r="C53" s="198"/>
      <c r="D53" s="198"/>
      <c r="E53" s="198"/>
      <c r="F53" s="198"/>
      <c r="G53" s="199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9"/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</row>
    <row r="54" ht="15.75" customHeight="1">
      <c r="A54" s="198"/>
      <c r="B54" s="198"/>
      <c r="C54" s="198"/>
      <c r="D54" s="198"/>
      <c r="E54" s="198"/>
      <c r="F54" s="198"/>
      <c r="G54" s="199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9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</row>
    <row r="55" ht="15.75" customHeight="1">
      <c r="A55" s="198"/>
      <c r="B55" s="198"/>
      <c r="C55" s="198"/>
      <c r="D55" s="198"/>
      <c r="E55" s="198"/>
      <c r="F55" s="198"/>
      <c r="G55" s="199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9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</row>
    <row r="56" ht="15.75" customHeight="1">
      <c r="A56" s="198"/>
      <c r="B56" s="198"/>
      <c r="C56" s="198"/>
      <c r="D56" s="198"/>
      <c r="E56" s="198"/>
      <c r="F56" s="198"/>
      <c r="G56" s="199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9"/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</row>
    <row r="57" ht="15.75" customHeight="1">
      <c r="A57" s="198"/>
      <c r="B57" s="198"/>
      <c r="C57" s="198"/>
      <c r="D57" s="198"/>
      <c r="E57" s="198"/>
      <c r="F57" s="198"/>
      <c r="G57" s="199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9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</row>
    <row r="58" ht="15.75" customHeight="1">
      <c r="A58" s="198"/>
      <c r="B58" s="198"/>
      <c r="C58" s="198"/>
      <c r="D58" s="198"/>
      <c r="E58" s="198"/>
      <c r="F58" s="198"/>
      <c r="G58" s="199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9"/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</row>
    <row r="59" ht="15.75" customHeight="1">
      <c r="A59" s="198"/>
      <c r="B59" s="198"/>
      <c r="C59" s="198"/>
      <c r="D59" s="198"/>
      <c r="E59" s="198"/>
      <c r="F59" s="198"/>
      <c r="G59" s="199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9"/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</row>
    <row r="60" ht="15.75" customHeight="1">
      <c r="A60" s="198"/>
      <c r="B60" s="198"/>
      <c r="C60" s="198"/>
      <c r="D60" s="198"/>
      <c r="E60" s="198"/>
      <c r="F60" s="198"/>
      <c r="G60" s="199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9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</row>
    <row r="61" ht="15.75" customHeight="1">
      <c r="A61" s="198"/>
      <c r="B61" s="198"/>
      <c r="C61" s="198"/>
      <c r="D61" s="198"/>
      <c r="E61" s="198"/>
      <c r="F61" s="198"/>
      <c r="G61" s="199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9"/>
      <c r="AA61" s="198"/>
      <c r="AB61" s="198"/>
      <c r="AC61" s="198"/>
      <c r="AD61" s="198"/>
      <c r="AE61" s="198"/>
      <c r="AF61" s="198"/>
      <c r="AG61" s="198"/>
      <c r="AH61" s="198"/>
      <c r="AI61" s="198"/>
      <c r="AJ61" s="198"/>
      <c r="AK61" s="198"/>
      <c r="AL61" s="198"/>
    </row>
    <row r="62" ht="15.75" customHeight="1">
      <c r="A62" s="198"/>
      <c r="B62" s="198"/>
      <c r="C62" s="198"/>
      <c r="D62" s="198"/>
      <c r="E62" s="198"/>
      <c r="F62" s="198"/>
      <c r="G62" s="199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9"/>
      <c r="AA62" s="198"/>
      <c r="AB62" s="198"/>
      <c r="AC62" s="198"/>
      <c r="AD62" s="198"/>
      <c r="AE62" s="198"/>
      <c r="AF62" s="198"/>
      <c r="AG62" s="198"/>
      <c r="AH62" s="198"/>
      <c r="AI62" s="198"/>
      <c r="AJ62" s="198"/>
      <c r="AK62" s="198"/>
      <c r="AL62" s="198"/>
    </row>
    <row r="63" ht="15.75" customHeight="1">
      <c r="A63" s="198"/>
      <c r="B63" s="198"/>
      <c r="C63" s="198"/>
      <c r="D63" s="198"/>
      <c r="E63" s="198"/>
      <c r="F63" s="198"/>
      <c r="G63" s="199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9"/>
      <c r="AA63" s="198"/>
      <c r="AB63" s="198"/>
      <c r="AC63" s="198"/>
      <c r="AD63" s="198"/>
      <c r="AE63" s="198"/>
      <c r="AF63" s="198"/>
      <c r="AG63" s="198"/>
      <c r="AH63" s="198"/>
      <c r="AI63" s="198"/>
      <c r="AJ63" s="198"/>
      <c r="AK63" s="198"/>
      <c r="AL63" s="198"/>
    </row>
    <row r="64" ht="15.75" customHeight="1">
      <c r="A64" s="198"/>
      <c r="B64" s="198"/>
      <c r="C64" s="198"/>
      <c r="D64" s="198"/>
      <c r="E64" s="198"/>
      <c r="F64" s="198"/>
      <c r="G64" s="199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9"/>
      <c r="AA64" s="198"/>
      <c r="AB64" s="198"/>
      <c r="AC64" s="198"/>
      <c r="AD64" s="198"/>
      <c r="AE64" s="198"/>
      <c r="AF64" s="198"/>
      <c r="AG64" s="198"/>
      <c r="AH64" s="198"/>
      <c r="AI64" s="198"/>
      <c r="AJ64" s="198"/>
      <c r="AK64" s="198"/>
      <c r="AL64" s="198"/>
    </row>
    <row r="65" ht="15.75" customHeight="1">
      <c r="A65" s="198"/>
      <c r="B65" s="198"/>
      <c r="C65" s="198"/>
      <c r="D65" s="198"/>
      <c r="E65" s="198"/>
      <c r="F65" s="198"/>
      <c r="G65" s="199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9"/>
      <c r="AA65" s="198"/>
      <c r="AB65" s="198"/>
      <c r="AC65" s="198"/>
      <c r="AD65" s="198"/>
      <c r="AE65" s="198"/>
      <c r="AF65" s="198"/>
      <c r="AG65" s="198"/>
      <c r="AH65" s="198"/>
      <c r="AI65" s="198"/>
      <c r="AJ65" s="198"/>
      <c r="AK65" s="198"/>
      <c r="AL65" s="198"/>
    </row>
    <row r="66" ht="15.75" customHeight="1">
      <c r="A66" s="198"/>
      <c r="B66" s="198"/>
      <c r="C66" s="198"/>
      <c r="D66" s="198"/>
      <c r="E66" s="198"/>
      <c r="F66" s="198"/>
      <c r="G66" s="199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9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  <c r="AK66" s="198"/>
      <c r="AL66" s="198"/>
    </row>
    <row r="67" ht="15.75" customHeight="1">
      <c r="A67" s="198"/>
      <c r="B67" s="198"/>
      <c r="C67" s="198"/>
      <c r="D67" s="198"/>
      <c r="E67" s="198"/>
      <c r="F67" s="198"/>
      <c r="G67" s="199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9"/>
      <c r="AA67" s="198"/>
      <c r="AB67" s="198"/>
      <c r="AC67" s="198"/>
      <c r="AD67" s="198"/>
      <c r="AE67" s="198"/>
      <c r="AF67" s="198"/>
      <c r="AG67" s="198"/>
      <c r="AH67" s="198"/>
      <c r="AI67" s="198"/>
      <c r="AJ67" s="198"/>
      <c r="AK67" s="198"/>
      <c r="AL67" s="198"/>
    </row>
    <row r="68" ht="15.75" customHeight="1">
      <c r="A68" s="198"/>
      <c r="B68" s="198"/>
      <c r="C68" s="198"/>
      <c r="D68" s="198"/>
      <c r="E68" s="198"/>
      <c r="F68" s="198"/>
      <c r="G68" s="199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9"/>
      <c r="AA68" s="198"/>
      <c r="AB68" s="198"/>
      <c r="AC68" s="198"/>
      <c r="AD68" s="198"/>
      <c r="AE68" s="198"/>
      <c r="AF68" s="198"/>
      <c r="AG68" s="198"/>
      <c r="AH68" s="198"/>
      <c r="AI68" s="198"/>
      <c r="AJ68" s="198"/>
      <c r="AK68" s="198"/>
      <c r="AL68" s="198"/>
    </row>
    <row r="69" ht="15.75" customHeight="1">
      <c r="A69" s="198"/>
      <c r="B69" s="198"/>
      <c r="C69" s="198"/>
      <c r="D69" s="198"/>
      <c r="E69" s="198"/>
      <c r="F69" s="198"/>
      <c r="G69" s="199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9"/>
      <c r="AA69" s="198"/>
      <c r="AB69" s="198"/>
      <c r="AC69" s="198"/>
      <c r="AD69" s="198"/>
      <c r="AE69" s="198"/>
      <c r="AF69" s="198"/>
      <c r="AG69" s="198"/>
      <c r="AH69" s="198"/>
      <c r="AI69" s="198"/>
      <c r="AJ69" s="198"/>
      <c r="AK69" s="198"/>
      <c r="AL69" s="198"/>
    </row>
    <row r="70" ht="15.75" customHeight="1">
      <c r="A70" s="198"/>
      <c r="B70" s="198"/>
      <c r="C70" s="198"/>
      <c r="D70" s="198"/>
      <c r="E70" s="198"/>
      <c r="F70" s="198"/>
      <c r="G70" s="199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9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</row>
    <row r="71" ht="15.75" customHeight="1">
      <c r="A71" s="198"/>
      <c r="B71" s="198"/>
      <c r="C71" s="198"/>
      <c r="D71" s="198"/>
      <c r="E71" s="198"/>
      <c r="F71" s="198"/>
      <c r="G71" s="199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9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</row>
    <row r="72" ht="15.75" customHeight="1">
      <c r="A72" s="198"/>
      <c r="B72" s="198"/>
      <c r="C72" s="198"/>
      <c r="D72" s="198"/>
      <c r="E72" s="198"/>
      <c r="F72" s="198"/>
      <c r="G72" s="199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9"/>
      <c r="AA72" s="198"/>
      <c r="AB72" s="198"/>
      <c r="AC72" s="198"/>
      <c r="AD72" s="198"/>
      <c r="AE72" s="198"/>
      <c r="AF72" s="198"/>
      <c r="AG72" s="198"/>
      <c r="AH72" s="198"/>
      <c r="AI72" s="198"/>
      <c r="AJ72" s="198"/>
      <c r="AK72" s="198"/>
      <c r="AL72" s="198"/>
    </row>
    <row r="73" ht="15.75" customHeight="1">
      <c r="A73" s="198"/>
      <c r="B73" s="198"/>
      <c r="C73" s="198"/>
      <c r="D73" s="198"/>
      <c r="E73" s="198"/>
      <c r="F73" s="198"/>
      <c r="G73" s="199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9"/>
      <c r="AA73" s="198"/>
      <c r="AB73" s="198"/>
      <c r="AC73" s="198"/>
      <c r="AD73" s="198"/>
      <c r="AE73" s="198"/>
      <c r="AF73" s="198"/>
      <c r="AG73" s="198"/>
      <c r="AH73" s="198"/>
      <c r="AI73" s="198"/>
      <c r="AJ73" s="198"/>
      <c r="AK73" s="198"/>
      <c r="AL73" s="198"/>
    </row>
    <row r="74" ht="15.75" customHeight="1">
      <c r="A74" s="198"/>
      <c r="B74" s="198"/>
      <c r="C74" s="198"/>
      <c r="D74" s="198"/>
      <c r="E74" s="198"/>
      <c r="F74" s="198"/>
      <c r="G74" s="199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9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198"/>
      <c r="AL74" s="198"/>
    </row>
    <row r="75" ht="15.75" customHeight="1">
      <c r="A75" s="198"/>
      <c r="B75" s="198"/>
      <c r="C75" s="198"/>
      <c r="D75" s="198"/>
      <c r="E75" s="198"/>
      <c r="F75" s="198"/>
      <c r="G75" s="199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9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8"/>
    </row>
    <row r="76" ht="15.75" customHeight="1">
      <c r="A76" s="198"/>
      <c r="B76" s="198"/>
      <c r="C76" s="198"/>
      <c r="D76" s="198"/>
      <c r="E76" s="198"/>
      <c r="F76" s="198"/>
      <c r="G76" s="199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9"/>
      <c r="AA76" s="198"/>
      <c r="AB76" s="198"/>
      <c r="AC76" s="198"/>
      <c r="AD76" s="198"/>
      <c r="AE76" s="198"/>
      <c r="AF76" s="198"/>
      <c r="AG76" s="198"/>
      <c r="AH76" s="198"/>
      <c r="AI76" s="198"/>
      <c r="AJ76" s="198"/>
      <c r="AK76" s="198"/>
      <c r="AL76" s="198"/>
    </row>
    <row r="77" ht="15.75" customHeight="1">
      <c r="A77" s="198"/>
      <c r="B77" s="198"/>
      <c r="C77" s="198"/>
      <c r="D77" s="198"/>
      <c r="E77" s="198"/>
      <c r="F77" s="198"/>
      <c r="G77" s="199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9"/>
      <c r="AA77" s="198"/>
      <c r="AB77" s="198"/>
      <c r="AC77" s="198"/>
      <c r="AD77" s="198"/>
      <c r="AE77" s="198"/>
      <c r="AF77" s="198"/>
      <c r="AG77" s="198"/>
      <c r="AH77" s="198"/>
      <c r="AI77" s="198"/>
      <c r="AJ77" s="198"/>
      <c r="AK77" s="198"/>
      <c r="AL77" s="198"/>
    </row>
    <row r="78" ht="15.75" customHeight="1">
      <c r="A78" s="198"/>
      <c r="B78" s="198"/>
      <c r="C78" s="198"/>
      <c r="D78" s="198"/>
      <c r="E78" s="198"/>
      <c r="F78" s="198"/>
      <c r="G78" s="199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9"/>
      <c r="AA78" s="198"/>
      <c r="AB78" s="198"/>
      <c r="AC78" s="198"/>
      <c r="AD78" s="198"/>
      <c r="AE78" s="198"/>
      <c r="AF78" s="198"/>
      <c r="AG78" s="198"/>
      <c r="AH78" s="198"/>
      <c r="AI78" s="198"/>
      <c r="AJ78" s="198"/>
      <c r="AK78" s="198"/>
      <c r="AL78" s="198"/>
    </row>
    <row r="79" ht="15.75" customHeight="1">
      <c r="A79" s="198"/>
      <c r="B79" s="198"/>
      <c r="C79" s="198"/>
      <c r="D79" s="198"/>
      <c r="E79" s="198"/>
      <c r="F79" s="198"/>
      <c r="G79" s="199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9"/>
      <c r="AA79" s="198"/>
      <c r="AB79" s="198"/>
      <c r="AC79" s="198"/>
      <c r="AD79" s="198"/>
      <c r="AE79" s="198"/>
      <c r="AF79" s="198"/>
      <c r="AG79" s="198"/>
      <c r="AH79" s="198"/>
      <c r="AI79" s="198"/>
      <c r="AJ79" s="198"/>
      <c r="AK79" s="198"/>
      <c r="AL79" s="198"/>
    </row>
    <row r="80" ht="15.75" customHeight="1">
      <c r="A80" s="198"/>
      <c r="B80" s="198"/>
      <c r="C80" s="198"/>
      <c r="D80" s="198"/>
      <c r="E80" s="198"/>
      <c r="F80" s="198"/>
      <c r="G80" s="199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9"/>
      <c r="AA80" s="198"/>
      <c r="AB80" s="198"/>
      <c r="AC80" s="198"/>
      <c r="AD80" s="198"/>
      <c r="AE80" s="198"/>
      <c r="AF80" s="198"/>
      <c r="AG80" s="198"/>
      <c r="AH80" s="198"/>
      <c r="AI80" s="198"/>
      <c r="AJ80" s="198"/>
      <c r="AK80" s="198"/>
      <c r="AL80" s="198"/>
    </row>
    <row r="81" ht="15.75" customHeight="1">
      <c r="A81" s="198"/>
      <c r="B81" s="198"/>
      <c r="C81" s="198"/>
      <c r="D81" s="198"/>
      <c r="E81" s="198"/>
      <c r="F81" s="198"/>
      <c r="G81" s="199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9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</row>
    <row r="82" ht="15.75" customHeight="1">
      <c r="A82" s="198"/>
      <c r="B82" s="198"/>
      <c r="C82" s="198"/>
      <c r="D82" s="198"/>
      <c r="E82" s="198"/>
      <c r="F82" s="198"/>
      <c r="G82" s="199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9"/>
      <c r="AA82" s="198"/>
      <c r="AB82" s="198"/>
      <c r="AC82" s="198"/>
      <c r="AD82" s="198"/>
      <c r="AE82" s="198"/>
      <c r="AF82" s="198"/>
      <c r="AG82" s="198"/>
      <c r="AH82" s="198"/>
      <c r="AI82" s="198"/>
      <c r="AJ82" s="198"/>
      <c r="AK82" s="198"/>
      <c r="AL82" s="198"/>
    </row>
    <row r="83" ht="15.75" customHeight="1">
      <c r="A83" s="198"/>
      <c r="B83" s="198"/>
      <c r="C83" s="198"/>
      <c r="D83" s="198"/>
      <c r="E83" s="198"/>
      <c r="F83" s="198"/>
      <c r="G83" s="199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9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</row>
    <row r="84" ht="15.75" customHeight="1">
      <c r="A84" s="198"/>
      <c r="B84" s="198"/>
      <c r="C84" s="198"/>
      <c r="D84" s="198"/>
      <c r="E84" s="198"/>
      <c r="F84" s="198"/>
      <c r="G84" s="199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9"/>
      <c r="AA84" s="198"/>
      <c r="AB84" s="198"/>
      <c r="AC84" s="198"/>
      <c r="AD84" s="198"/>
      <c r="AE84" s="198"/>
      <c r="AF84" s="198"/>
      <c r="AG84" s="198"/>
      <c r="AH84" s="198"/>
      <c r="AI84" s="198"/>
      <c r="AJ84" s="198"/>
      <c r="AK84" s="198"/>
      <c r="AL84" s="198"/>
    </row>
    <row r="85" ht="15.75" customHeight="1">
      <c r="A85" s="198"/>
      <c r="B85" s="198"/>
      <c r="C85" s="198"/>
      <c r="D85" s="198"/>
      <c r="E85" s="198"/>
      <c r="F85" s="198"/>
      <c r="G85" s="199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9"/>
      <c r="AA85" s="198"/>
      <c r="AB85" s="198"/>
      <c r="AC85" s="198"/>
      <c r="AD85" s="198"/>
      <c r="AE85" s="198"/>
      <c r="AF85" s="198"/>
      <c r="AG85" s="198"/>
      <c r="AH85" s="198"/>
      <c r="AI85" s="198"/>
      <c r="AJ85" s="198"/>
      <c r="AK85" s="198"/>
      <c r="AL85" s="198"/>
    </row>
    <row r="86" ht="15.75" customHeight="1">
      <c r="A86" s="198"/>
      <c r="B86" s="198"/>
      <c r="C86" s="198"/>
      <c r="D86" s="198"/>
      <c r="E86" s="198"/>
      <c r="F86" s="198"/>
      <c r="G86" s="199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9"/>
      <c r="AA86" s="198"/>
      <c r="AB86" s="198"/>
      <c r="AC86" s="198"/>
      <c r="AD86" s="198"/>
      <c r="AE86" s="198"/>
      <c r="AF86" s="198"/>
      <c r="AG86" s="198"/>
      <c r="AH86" s="198"/>
      <c r="AI86" s="198"/>
      <c r="AJ86" s="198"/>
      <c r="AK86" s="198"/>
      <c r="AL86" s="198"/>
    </row>
    <row r="87" ht="15.75" customHeight="1">
      <c r="A87" s="198"/>
      <c r="B87" s="198"/>
      <c r="C87" s="198"/>
      <c r="D87" s="198"/>
      <c r="E87" s="198"/>
      <c r="F87" s="198"/>
      <c r="G87" s="199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9"/>
      <c r="AA87" s="198"/>
      <c r="AB87" s="198"/>
      <c r="AC87" s="198"/>
      <c r="AD87" s="198"/>
      <c r="AE87" s="198"/>
      <c r="AF87" s="198"/>
      <c r="AG87" s="198"/>
      <c r="AH87" s="198"/>
      <c r="AI87" s="198"/>
      <c r="AJ87" s="198"/>
      <c r="AK87" s="198"/>
      <c r="AL87" s="198"/>
    </row>
    <row r="88" ht="15.75" customHeight="1">
      <c r="A88" s="198"/>
      <c r="B88" s="198"/>
      <c r="C88" s="198"/>
      <c r="D88" s="198"/>
      <c r="E88" s="198"/>
      <c r="F88" s="198"/>
      <c r="G88" s="199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9"/>
      <c r="AA88" s="198"/>
      <c r="AB88" s="198"/>
      <c r="AC88" s="198"/>
      <c r="AD88" s="198"/>
      <c r="AE88" s="198"/>
      <c r="AF88" s="198"/>
      <c r="AG88" s="198"/>
      <c r="AH88" s="198"/>
      <c r="AI88" s="198"/>
      <c r="AJ88" s="198"/>
      <c r="AK88" s="198"/>
      <c r="AL88" s="198"/>
    </row>
    <row r="89" ht="15.75" customHeight="1">
      <c r="A89" s="198"/>
      <c r="B89" s="198"/>
      <c r="C89" s="198"/>
      <c r="D89" s="198"/>
      <c r="E89" s="198"/>
      <c r="F89" s="198"/>
      <c r="G89" s="199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9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</row>
    <row r="90" ht="15.75" customHeight="1">
      <c r="A90" s="198"/>
      <c r="B90" s="198"/>
      <c r="C90" s="198"/>
      <c r="D90" s="198"/>
      <c r="E90" s="198"/>
      <c r="F90" s="198"/>
      <c r="G90" s="199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9"/>
      <c r="AA90" s="198"/>
      <c r="AB90" s="198"/>
      <c r="AC90" s="198"/>
      <c r="AD90" s="198"/>
      <c r="AE90" s="198"/>
      <c r="AF90" s="198"/>
      <c r="AG90" s="198"/>
      <c r="AH90" s="198"/>
      <c r="AI90" s="198"/>
      <c r="AJ90" s="198"/>
      <c r="AK90" s="198"/>
      <c r="AL90" s="198"/>
    </row>
    <row r="91" ht="15.75" customHeight="1">
      <c r="A91" s="198"/>
      <c r="B91" s="198"/>
      <c r="C91" s="198"/>
      <c r="D91" s="198"/>
      <c r="E91" s="198"/>
      <c r="F91" s="198"/>
      <c r="G91" s="199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9"/>
      <c r="AA91" s="198"/>
      <c r="AB91" s="198"/>
      <c r="AC91" s="198"/>
      <c r="AD91" s="198"/>
      <c r="AE91" s="198"/>
      <c r="AF91" s="198"/>
      <c r="AG91" s="198"/>
      <c r="AH91" s="198"/>
      <c r="AI91" s="198"/>
      <c r="AJ91" s="198"/>
      <c r="AK91" s="198"/>
      <c r="AL91" s="198"/>
    </row>
    <row r="92" ht="15.75" customHeight="1">
      <c r="A92" s="198"/>
      <c r="B92" s="198"/>
      <c r="C92" s="198"/>
      <c r="D92" s="198"/>
      <c r="E92" s="198"/>
      <c r="F92" s="198"/>
      <c r="G92" s="199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9"/>
      <c r="AA92" s="198"/>
      <c r="AB92" s="198"/>
      <c r="AC92" s="198"/>
      <c r="AD92" s="198"/>
      <c r="AE92" s="198"/>
      <c r="AF92" s="198"/>
      <c r="AG92" s="198"/>
      <c r="AH92" s="198"/>
      <c r="AI92" s="198"/>
      <c r="AJ92" s="198"/>
      <c r="AK92" s="198"/>
      <c r="AL92" s="198"/>
    </row>
    <row r="93" ht="15.75" customHeight="1">
      <c r="A93" s="198"/>
      <c r="B93" s="198"/>
      <c r="C93" s="198"/>
      <c r="D93" s="198"/>
      <c r="E93" s="198"/>
      <c r="F93" s="198"/>
      <c r="G93" s="199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9"/>
      <c r="AA93" s="198"/>
      <c r="AB93" s="198"/>
      <c r="AC93" s="198"/>
      <c r="AD93" s="198"/>
      <c r="AE93" s="198"/>
      <c r="AF93" s="198"/>
      <c r="AG93" s="198"/>
      <c r="AH93" s="198"/>
      <c r="AI93" s="198"/>
      <c r="AJ93" s="198"/>
      <c r="AK93" s="198"/>
      <c r="AL93" s="198"/>
    </row>
    <row r="94" ht="15.75" customHeight="1">
      <c r="A94" s="198"/>
      <c r="B94" s="198"/>
      <c r="C94" s="198"/>
      <c r="D94" s="198"/>
      <c r="E94" s="198"/>
      <c r="F94" s="198"/>
      <c r="G94" s="199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9"/>
      <c r="AA94" s="198"/>
      <c r="AB94" s="198"/>
      <c r="AC94" s="198"/>
      <c r="AD94" s="198"/>
      <c r="AE94" s="198"/>
      <c r="AF94" s="198"/>
      <c r="AG94" s="198"/>
      <c r="AH94" s="198"/>
      <c r="AI94" s="198"/>
      <c r="AJ94" s="198"/>
      <c r="AK94" s="198"/>
      <c r="AL94" s="198"/>
    </row>
    <row r="95" ht="15.75" customHeight="1">
      <c r="A95" s="198"/>
      <c r="B95" s="198"/>
      <c r="C95" s="198"/>
      <c r="D95" s="198"/>
      <c r="E95" s="198"/>
      <c r="F95" s="198"/>
      <c r="G95" s="199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9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</row>
    <row r="96" ht="15.75" customHeight="1">
      <c r="A96" s="198"/>
      <c r="B96" s="198"/>
      <c r="C96" s="198"/>
      <c r="D96" s="198"/>
      <c r="E96" s="198"/>
      <c r="F96" s="198"/>
      <c r="G96" s="199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9"/>
      <c r="AA96" s="198"/>
      <c r="AB96" s="198"/>
      <c r="AC96" s="198"/>
      <c r="AD96" s="198"/>
      <c r="AE96" s="198"/>
      <c r="AF96" s="198"/>
      <c r="AG96" s="198"/>
      <c r="AH96" s="198"/>
      <c r="AI96" s="198"/>
      <c r="AJ96" s="198"/>
      <c r="AK96" s="198"/>
      <c r="AL96" s="198"/>
    </row>
    <row r="97" ht="15.75" customHeight="1">
      <c r="A97" s="198"/>
      <c r="B97" s="198"/>
      <c r="C97" s="198"/>
      <c r="D97" s="198"/>
      <c r="E97" s="198"/>
      <c r="F97" s="198"/>
      <c r="G97" s="199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9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</row>
    <row r="98" ht="15.75" customHeight="1">
      <c r="A98" s="198"/>
      <c r="B98" s="198"/>
      <c r="C98" s="198"/>
      <c r="D98" s="198"/>
      <c r="E98" s="198"/>
      <c r="F98" s="198"/>
      <c r="G98" s="199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9"/>
      <c r="AA98" s="198"/>
      <c r="AB98" s="198"/>
      <c r="AC98" s="198"/>
      <c r="AD98" s="198"/>
      <c r="AE98" s="198"/>
      <c r="AF98" s="198"/>
      <c r="AG98" s="198"/>
      <c r="AH98" s="198"/>
      <c r="AI98" s="198"/>
      <c r="AJ98" s="198"/>
      <c r="AK98" s="198"/>
      <c r="AL98" s="198"/>
    </row>
    <row r="99" ht="15.75" customHeight="1">
      <c r="A99" s="198"/>
      <c r="B99" s="198"/>
      <c r="C99" s="198"/>
      <c r="D99" s="198"/>
      <c r="E99" s="198"/>
      <c r="F99" s="198"/>
      <c r="G99" s="199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9"/>
      <c r="AA99" s="198"/>
      <c r="AB99" s="198"/>
      <c r="AC99" s="198"/>
      <c r="AD99" s="198"/>
      <c r="AE99" s="198"/>
      <c r="AF99" s="198"/>
      <c r="AG99" s="198"/>
      <c r="AH99" s="198"/>
      <c r="AI99" s="198"/>
      <c r="AJ99" s="198"/>
      <c r="AK99" s="198"/>
      <c r="AL99" s="198"/>
    </row>
    <row r="100" ht="15.75" customHeight="1">
      <c r="A100" s="198"/>
      <c r="B100" s="198"/>
      <c r="C100" s="198"/>
      <c r="D100" s="198"/>
      <c r="E100" s="198"/>
      <c r="F100" s="198"/>
      <c r="G100" s="199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9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</row>
    <row r="101" ht="15.75" customHeight="1">
      <c r="A101" s="198"/>
      <c r="B101" s="198"/>
      <c r="C101" s="198"/>
      <c r="D101" s="198"/>
      <c r="E101" s="198"/>
      <c r="F101" s="198"/>
      <c r="G101" s="199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9"/>
      <c r="AA101" s="198"/>
      <c r="AB101" s="198"/>
      <c r="AC101" s="198"/>
      <c r="AD101" s="198"/>
      <c r="AE101" s="198"/>
      <c r="AF101" s="198"/>
      <c r="AG101" s="198"/>
      <c r="AH101" s="198"/>
      <c r="AI101" s="198"/>
      <c r="AJ101" s="198"/>
      <c r="AK101" s="198"/>
      <c r="AL101" s="198"/>
    </row>
    <row r="102" ht="15.75" customHeight="1">
      <c r="A102" s="198"/>
      <c r="B102" s="198"/>
      <c r="C102" s="198"/>
      <c r="D102" s="198"/>
      <c r="E102" s="198"/>
      <c r="F102" s="198"/>
      <c r="G102" s="199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9"/>
      <c r="AA102" s="198"/>
      <c r="AB102" s="198"/>
      <c r="AC102" s="198"/>
      <c r="AD102" s="198"/>
      <c r="AE102" s="198"/>
      <c r="AF102" s="198"/>
      <c r="AG102" s="198"/>
      <c r="AH102" s="198"/>
      <c r="AI102" s="198"/>
      <c r="AJ102" s="198"/>
      <c r="AK102" s="198"/>
      <c r="AL102" s="198"/>
    </row>
    <row r="103" ht="15.75" customHeight="1">
      <c r="A103" s="198"/>
      <c r="B103" s="198"/>
      <c r="C103" s="198"/>
      <c r="D103" s="198"/>
      <c r="E103" s="198"/>
      <c r="F103" s="198"/>
      <c r="G103" s="199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9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</row>
    <row r="104" ht="15.75" customHeight="1">
      <c r="A104" s="198"/>
      <c r="B104" s="198"/>
      <c r="C104" s="198"/>
      <c r="D104" s="198"/>
      <c r="E104" s="198"/>
      <c r="F104" s="198"/>
      <c r="G104" s="199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9"/>
      <c r="AA104" s="198"/>
      <c r="AB104" s="198"/>
      <c r="AC104" s="198"/>
      <c r="AD104" s="198"/>
      <c r="AE104" s="198"/>
      <c r="AF104" s="198"/>
      <c r="AG104" s="198"/>
      <c r="AH104" s="198"/>
      <c r="AI104" s="198"/>
      <c r="AJ104" s="198"/>
      <c r="AK104" s="198"/>
      <c r="AL104" s="198"/>
    </row>
    <row r="105" ht="15.75" customHeight="1">
      <c r="A105" s="198"/>
      <c r="B105" s="198"/>
      <c r="C105" s="198"/>
      <c r="D105" s="198"/>
      <c r="E105" s="198"/>
      <c r="F105" s="198"/>
      <c r="G105" s="199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9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</row>
    <row r="106" ht="15.75" customHeight="1">
      <c r="A106" s="198"/>
      <c r="B106" s="198"/>
      <c r="C106" s="198"/>
      <c r="D106" s="198"/>
      <c r="E106" s="198"/>
      <c r="F106" s="198"/>
      <c r="G106" s="199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9"/>
      <c r="AA106" s="198"/>
      <c r="AB106" s="198"/>
      <c r="AC106" s="198"/>
      <c r="AD106" s="198"/>
      <c r="AE106" s="198"/>
      <c r="AF106" s="198"/>
      <c r="AG106" s="198"/>
      <c r="AH106" s="198"/>
      <c r="AI106" s="198"/>
      <c r="AJ106" s="198"/>
      <c r="AK106" s="198"/>
      <c r="AL106" s="198"/>
    </row>
    <row r="107" ht="15.75" customHeight="1">
      <c r="A107" s="198"/>
      <c r="B107" s="198"/>
      <c r="C107" s="198"/>
      <c r="D107" s="198"/>
      <c r="E107" s="198"/>
      <c r="F107" s="198"/>
      <c r="G107" s="199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9"/>
      <c r="AA107" s="198"/>
      <c r="AB107" s="198"/>
      <c r="AC107" s="198"/>
      <c r="AD107" s="198"/>
      <c r="AE107" s="198"/>
      <c r="AF107" s="198"/>
      <c r="AG107" s="198"/>
      <c r="AH107" s="198"/>
      <c r="AI107" s="198"/>
      <c r="AJ107" s="198"/>
      <c r="AK107" s="198"/>
      <c r="AL107" s="198"/>
    </row>
    <row r="108" ht="15.75" customHeight="1">
      <c r="A108" s="198"/>
      <c r="B108" s="198"/>
      <c r="C108" s="198"/>
      <c r="D108" s="198"/>
      <c r="E108" s="198"/>
      <c r="F108" s="198"/>
      <c r="G108" s="199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9"/>
      <c r="AA108" s="198"/>
      <c r="AB108" s="198"/>
      <c r="AC108" s="198"/>
      <c r="AD108" s="198"/>
      <c r="AE108" s="198"/>
      <c r="AF108" s="198"/>
      <c r="AG108" s="198"/>
      <c r="AH108" s="198"/>
      <c r="AI108" s="198"/>
      <c r="AJ108" s="198"/>
      <c r="AK108" s="198"/>
      <c r="AL108" s="198"/>
    </row>
    <row r="109" ht="15.75" customHeight="1">
      <c r="A109" s="198"/>
      <c r="B109" s="198"/>
      <c r="C109" s="198"/>
      <c r="D109" s="198"/>
      <c r="E109" s="198"/>
      <c r="F109" s="198"/>
      <c r="G109" s="199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9"/>
      <c r="AA109" s="198"/>
      <c r="AB109" s="198"/>
      <c r="AC109" s="198"/>
      <c r="AD109" s="198"/>
      <c r="AE109" s="198"/>
      <c r="AF109" s="198"/>
      <c r="AG109" s="198"/>
      <c r="AH109" s="198"/>
      <c r="AI109" s="198"/>
      <c r="AJ109" s="198"/>
      <c r="AK109" s="198"/>
      <c r="AL109" s="198"/>
    </row>
    <row r="110" ht="15.75" customHeight="1">
      <c r="A110" s="198"/>
      <c r="B110" s="198"/>
      <c r="C110" s="198"/>
      <c r="D110" s="198"/>
      <c r="E110" s="198"/>
      <c r="F110" s="198"/>
      <c r="G110" s="199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9"/>
      <c r="AA110" s="198"/>
      <c r="AB110" s="198"/>
      <c r="AC110" s="198"/>
      <c r="AD110" s="198"/>
      <c r="AE110" s="198"/>
      <c r="AF110" s="198"/>
      <c r="AG110" s="198"/>
      <c r="AH110" s="198"/>
      <c r="AI110" s="198"/>
      <c r="AJ110" s="198"/>
      <c r="AK110" s="198"/>
      <c r="AL110" s="198"/>
    </row>
    <row r="111" ht="15.75" customHeight="1">
      <c r="A111" s="198"/>
      <c r="B111" s="198"/>
      <c r="C111" s="198"/>
      <c r="D111" s="198"/>
      <c r="E111" s="198"/>
      <c r="F111" s="198"/>
      <c r="G111" s="199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9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</row>
    <row r="112" ht="15.75" customHeight="1">
      <c r="A112" s="198"/>
      <c r="B112" s="198"/>
      <c r="C112" s="198"/>
      <c r="D112" s="198"/>
      <c r="E112" s="198"/>
      <c r="F112" s="198"/>
      <c r="G112" s="199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9"/>
      <c r="AA112" s="198"/>
      <c r="AB112" s="198"/>
      <c r="AC112" s="198"/>
      <c r="AD112" s="198"/>
      <c r="AE112" s="198"/>
      <c r="AF112" s="198"/>
      <c r="AG112" s="198"/>
      <c r="AH112" s="198"/>
      <c r="AI112" s="198"/>
      <c r="AJ112" s="198"/>
      <c r="AK112" s="198"/>
      <c r="AL112" s="198"/>
    </row>
    <row r="113" ht="15.75" customHeight="1">
      <c r="A113" s="198"/>
      <c r="B113" s="198"/>
      <c r="C113" s="198"/>
      <c r="D113" s="198"/>
      <c r="E113" s="198"/>
      <c r="F113" s="198"/>
      <c r="G113" s="199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9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</row>
    <row r="114" ht="15.75" customHeight="1">
      <c r="A114" s="198"/>
      <c r="B114" s="198"/>
      <c r="C114" s="198"/>
      <c r="D114" s="198"/>
      <c r="E114" s="198"/>
      <c r="F114" s="198"/>
      <c r="G114" s="199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9"/>
      <c r="AA114" s="198"/>
      <c r="AB114" s="198"/>
      <c r="AC114" s="198"/>
      <c r="AD114" s="198"/>
      <c r="AE114" s="198"/>
      <c r="AF114" s="198"/>
      <c r="AG114" s="198"/>
      <c r="AH114" s="198"/>
      <c r="AI114" s="198"/>
      <c r="AJ114" s="198"/>
      <c r="AK114" s="198"/>
      <c r="AL114" s="198"/>
    </row>
    <row r="115" ht="15.75" customHeight="1">
      <c r="A115" s="198"/>
      <c r="B115" s="198"/>
      <c r="C115" s="198"/>
      <c r="D115" s="198"/>
      <c r="E115" s="198"/>
      <c r="F115" s="198"/>
      <c r="G115" s="199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9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</row>
    <row r="116" ht="15.75" customHeight="1">
      <c r="A116" s="198"/>
      <c r="B116" s="198"/>
      <c r="C116" s="198"/>
      <c r="D116" s="198"/>
      <c r="E116" s="198"/>
      <c r="F116" s="198"/>
      <c r="G116" s="199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9"/>
      <c r="AA116" s="198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</row>
    <row r="117" ht="15.75" customHeight="1">
      <c r="A117" s="198"/>
      <c r="B117" s="198"/>
      <c r="C117" s="198"/>
      <c r="D117" s="198"/>
      <c r="E117" s="198"/>
      <c r="F117" s="198"/>
      <c r="G117" s="199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9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</row>
    <row r="118" ht="15.75" customHeight="1">
      <c r="A118" s="198"/>
      <c r="B118" s="198"/>
      <c r="C118" s="198"/>
      <c r="D118" s="198"/>
      <c r="E118" s="198"/>
      <c r="F118" s="198"/>
      <c r="G118" s="199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9"/>
      <c r="AA118" s="198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</row>
    <row r="119" ht="15.75" customHeight="1">
      <c r="A119" s="198"/>
      <c r="B119" s="198"/>
      <c r="C119" s="198"/>
      <c r="D119" s="198"/>
      <c r="E119" s="198"/>
      <c r="F119" s="198"/>
      <c r="G119" s="199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9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</row>
    <row r="120" ht="15.75" customHeight="1">
      <c r="A120" s="198"/>
      <c r="B120" s="198"/>
      <c r="C120" s="198"/>
      <c r="D120" s="198"/>
      <c r="E120" s="198"/>
      <c r="F120" s="198"/>
      <c r="G120" s="199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9"/>
      <c r="AA120" s="198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</row>
    <row r="121" ht="15.75" customHeight="1">
      <c r="A121" s="198"/>
      <c r="B121" s="198"/>
      <c r="C121" s="198"/>
      <c r="D121" s="198"/>
      <c r="E121" s="198"/>
      <c r="F121" s="198"/>
      <c r="G121" s="199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9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</row>
    <row r="122" ht="15.75" customHeight="1">
      <c r="A122" s="198"/>
      <c r="B122" s="198"/>
      <c r="C122" s="198"/>
      <c r="D122" s="198"/>
      <c r="E122" s="198"/>
      <c r="F122" s="198"/>
      <c r="G122" s="199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9"/>
      <c r="AA122" s="198"/>
      <c r="AB122" s="198"/>
      <c r="AC122" s="198"/>
      <c r="AD122" s="198"/>
      <c r="AE122" s="198"/>
      <c r="AF122" s="198"/>
      <c r="AG122" s="198"/>
      <c r="AH122" s="198"/>
      <c r="AI122" s="198"/>
      <c r="AJ122" s="198"/>
      <c r="AK122" s="198"/>
      <c r="AL122" s="198"/>
    </row>
    <row r="123" ht="15.75" customHeight="1">
      <c r="A123" s="198"/>
      <c r="B123" s="198"/>
      <c r="C123" s="198"/>
      <c r="D123" s="198"/>
      <c r="E123" s="198"/>
      <c r="F123" s="198"/>
      <c r="G123" s="199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9"/>
      <c r="AA123" s="198"/>
      <c r="AB123" s="198"/>
      <c r="AC123" s="198"/>
      <c r="AD123" s="198"/>
      <c r="AE123" s="198"/>
      <c r="AF123" s="198"/>
      <c r="AG123" s="198"/>
      <c r="AH123" s="198"/>
      <c r="AI123" s="198"/>
      <c r="AJ123" s="198"/>
      <c r="AK123" s="198"/>
      <c r="AL123" s="198"/>
    </row>
    <row r="124" ht="15.75" customHeight="1">
      <c r="A124" s="198"/>
      <c r="B124" s="198"/>
      <c r="C124" s="198"/>
      <c r="D124" s="198"/>
      <c r="E124" s="198"/>
      <c r="F124" s="198"/>
      <c r="G124" s="199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9"/>
      <c r="AA124" s="198"/>
      <c r="AB124" s="198"/>
      <c r="AC124" s="198"/>
      <c r="AD124" s="198"/>
      <c r="AE124" s="198"/>
      <c r="AF124" s="198"/>
      <c r="AG124" s="198"/>
      <c r="AH124" s="198"/>
      <c r="AI124" s="198"/>
      <c r="AJ124" s="198"/>
      <c r="AK124" s="198"/>
      <c r="AL124" s="198"/>
    </row>
    <row r="125" ht="15.75" customHeight="1">
      <c r="A125" s="198"/>
      <c r="B125" s="198"/>
      <c r="C125" s="198"/>
      <c r="D125" s="198"/>
      <c r="E125" s="198"/>
      <c r="F125" s="198"/>
      <c r="G125" s="199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9"/>
      <c r="AA125" s="198"/>
      <c r="AB125" s="198"/>
      <c r="AC125" s="198"/>
      <c r="AD125" s="198"/>
      <c r="AE125" s="198"/>
      <c r="AF125" s="198"/>
      <c r="AG125" s="198"/>
      <c r="AH125" s="198"/>
      <c r="AI125" s="198"/>
      <c r="AJ125" s="198"/>
      <c r="AK125" s="198"/>
      <c r="AL125" s="198"/>
    </row>
    <row r="126" ht="15.75" customHeight="1">
      <c r="A126" s="198"/>
      <c r="B126" s="198"/>
      <c r="C126" s="198"/>
      <c r="D126" s="198"/>
      <c r="E126" s="198"/>
      <c r="F126" s="198"/>
      <c r="G126" s="199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9"/>
      <c r="AA126" s="198"/>
      <c r="AB126" s="198"/>
      <c r="AC126" s="198"/>
      <c r="AD126" s="198"/>
      <c r="AE126" s="198"/>
      <c r="AF126" s="198"/>
      <c r="AG126" s="198"/>
      <c r="AH126" s="198"/>
      <c r="AI126" s="198"/>
      <c r="AJ126" s="198"/>
      <c r="AK126" s="198"/>
      <c r="AL126" s="198"/>
    </row>
    <row r="127" ht="15.75" customHeight="1">
      <c r="A127" s="198"/>
      <c r="B127" s="198"/>
      <c r="C127" s="198"/>
      <c r="D127" s="198"/>
      <c r="E127" s="198"/>
      <c r="F127" s="198"/>
      <c r="G127" s="199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9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</row>
    <row r="128" ht="15.75" customHeight="1">
      <c r="A128" s="198"/>
      <c r="B128" s="198"/>
      <c r="C128" s="198"/>
      <c r="D128" s="198"/>
      <c r="E128" s="198"/>
      <c r="F128" s="198"/>
      <c r="G128" s="199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9"/>
      <c r="AA128" s="198"/>
      <c r="AB128" s="198"/>
      <c r="AC128" s="198"/>
      <c r="AD128" s="198"/>
      <c r="AE128" s="198"/>
      <c r="AF128" s="198"/>
      <c r="AG128" s="198"/>
      <c r="AH128" s="198"/>
      <c r="AI128" s="198"/>
      <c r="AJ128" s="198"/>
      <c r="AK128" s="198"/>
      <c r="AL128" s="198"/>
    </row>
    <row r="129" ht="15.75" customHeight="1">
      <c r="A129" s="198"/>
      <c r="B129" s="198"/>
      <c r="C129" s="198"/>
      <c r="D129" s="198"/>
      <c r="E129" s="198"/>
      <c r="F129" s="198"/>
      <c r="G129" s="199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9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</row>
    <row r="130" ht="15.75" customHeight="1">
      <c r="A130" s="198"/>
      <c r="B130" s="198"/>
      <c r="C130" s="198"/>
      <c r="D130" s="198"/>
      <c r="E130" s="198"/>
      <c r="F130" s="198"/>
      <c r="G130" s="199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9"/>
      <c r="AA130" s="198"/>
      <c r="AB130" s="198"/>
      <c r="AC130" s="198"/>
      <c r="AD130" s="198"/>
      <c r="AE130" s="198"/>
      <c r="AF130" s="198"/>
      <c r="AG130" s="198"/>
      <c r="AH130" s="198"/>
      <c r="AI130" s="198"/>
      <c r="AJ130" s="198"/>
      <c r="AK130" s="198"/>
      <c r="AL130" s="198"/>
    </row>
    <row r="131" ht="15.75" customHeight="1">
      <c r="A131" s="198"/>
      <c r="B131" s="198"/>
      <c r="C131" s="198"/>
      <c r="D131" s="198"/>
      <c r="E131" s="198"/>
      <c r="F131" s="198"/>
      <c r="G131" s="199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9"/>
      <c r="AA131" s="198"/>
      <c r="AB131" s="198"/>
      <c r="AC131" s="198"/>
      <c r="AD131" s="198"/>
      <c r="AE131" s="198"/>
      <c r="AF131" s="198"/>
      <c r="AG131" s="198"/>
      <c r="AH131" s="198"/>
      <c r="AI131" s="198"/>
      <c r="AJ131" s="198"/>
      <c r="AK131" s="198"/>
      <c r="AL131" s="198"/>
    </row>
    <row r="132" ht="15.75" customHeight="1">
      <c r="A132" s="198"/>
      <c r="B132" s="198"/>
      <c r="C132" s="198"/>
      <c r="D132" s="198"/>
      <c r="E132" s="198"/>
      <c r="F132" s="198"/>
      <c r="G132" s="199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9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</row>
    <row r="133" ht="15.75" customHeight="1">
      <c r="A133" s="198"/>
      <c r="B133" s="198"/>
      <c r="C133" s="198"/>
      <c r="D133" s="198"/>
      <c r="E133" s="198"/>
      <c r="F133" s="198"/>
      <c r="G133" s="199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9"/>
      <c r="AA133" s="198"/>
      <c r="AB133" s="198"/>
      <c r="AC133" s="198"/>
      <c r="AD133" s="198"/>
      <c r="AE133" s="198"/>
      <c r="AF133" s="198"/>
      <c r="AG133" s="198"/>
      <c r="AH133" s="198"/>
      <c r="AI133" s="198"/>
      <c r="AJ133" s="198"/>
      <c r="AK133" s="198"/>
      <c r="AL133" s="198"/>
    </row>
    <row r="134" ht="15.75" customHeight="1">
      <c r="A134" s="198"/>
      <c r="B134" s="198"/>
      <c r="C134" s="198"/>
      <c r="D134" s="198"/>
      <c r="E134" s="198"/>
      <c r="F134" s="198"/>
      <c r="G134" s="199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9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</row>
    <row r="135" ht="15.75" customHeight="1">
      <c r="A135" s="198"/>
      <c r="B135" s="198"/>
      <c r="C135" s="198"/>
      <c r="D135" s="198"/>
      <c r="E135" s="198"/>
      <c r="F135" s="198"/>
      <c r="G135" s="199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9"/>
      <c r="AA135" s="198"/>
      <c r="AB135" s="198"/>
      <c r="AC135" s="198"/>
      <c r="AD135" s="198"/>
      <c r="AE135" s="198"/>
      <c r="AF135" s="198"/>
      <c r="AG135" s="198"/>
      <c r="AH135" s="198"/>
      <c r="AI135" s="198"/>
      <c r="AJ135" s="198"/>
      <c r="AK135" s="198"/>
      <c r="AL135" s="198"/>
    </row>
    <row r="136" ht="15.75" customHeight="1">
      <c r="A136" s="198"/>
      <c r="B136" s="198"/>
      <c r="C136" s="198"/>
      <c r="D136" s="198"/>
      <c r="E136" s="198"/>
      <c r="F136" s="198"/>
      <c r="G136" s="199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9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</row>
    <row r="137" ht="15.75" customHeight="1">
      <c r="A137" s="198"/>
      <c r="B137" s="198"/>
      <c r="C137" s="198"/>
      <c r="D137" s="198"/>
      <c r="E137" s="198"/>
      <c r="F137" s="198"/>
      <c r="G137" s="199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9"/>
      <c r="AA137" s="198"/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</row>
    <row r="138" ht="15.75" customHeight="1">
      <c r="A138" s="198"/>
      <c r="B138" s="198"/>
      <c r="C138" s="198"/>
      <c r="D138" s="198"/>
      <c r="E138" s="198"/>
      <c r="F138" s="198"/>
      <c r="G138" s="199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9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</row>
    <row r="139" ht="15.75" customHeight="1">
      <c r="A139" s="198"/>
      <c r="B139" s="198"/>
      <c r="C139" s="198"/>
      <c r="D139" s="198"/>
      <c r="E139" s="198"/>
      <c r="F139" s="198"/>
      <c r="G139" s="199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9"/>
      <c r="AA139" s="198"/>
      <c r="AB139" s="198"/>
      <c r="AC139" s="198"/>
      <c r="AD139" s="198"/>
      <c r="AE139" s="198"/>
      <c r="AF139" s="198"/>
      <c r="AG139" s="198"/>
      <c r="AH139" s="198"/>
      <c r="AI139" s="198"/>
      <c r="AJ139" s="198"/>
      <c r="AK139" s="198"/>
      <c r="AL139" s="198"/>
    </row>
    <row r="140" ht="15.75" customHeight="1">
      <c r="A140" s="198"/>
      <c r="B140" s="198"/>
      <c r="C140" s="198"/>
      <c r="D140" s="198"/>
      <c r="E140" s="198"/>
      <c r="F140" s="198"/>
      <c r="G140" s="199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9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</row>
    <row r="141" ht="15.75" customHeight="1">
      <c r="A141" s="198"/>
      <c r="B141" s="198"/>
      <c r="C141" s="198"/>
      <c r="D141" s="198"/>
      <c r="E141" s="198"/>
      <c r="F141" s="198"/>
      <c r="G141" s="199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9"/>
      <c r="AA141" s="198"/>
      <c r="AB141" s="198"/>
      <c r="AC141" s="198"/>
      <c r="AD141" s="198"/>
      <c r="AE141" s="198"/>
      <c r="AF141" s="198"/>
      <c r="AG141" s="198"/>
      <c r="AH141" s="198"/>
      <c r="AI141" s="198"/>
      <c r="AJ141" s="198"/>
      <c r="AK141" s="198"/>
      <c r="AL141" s="198"/>
    </row>
    <row r="142" ht="15.75" customHeight="1">
      <c r="A142" s="198"/>
      <c r="B142" s="198"/>
      <c r="C142" s="198"/>
      <c r="D142" s="198"/>
      <c r="E142" s="198"/>
      <c r="F142" s="198"/>
      <c r="G142" s="199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9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</row>
    <row r="143" ht="15.75" customHeight="1">
      <c r="A143" s="198"/>
      <c r="B143" s="198"/>
      <c r="C143" s="198"/>
      <c r="D143" s="198"/>
      <c r="E143" s="198"/>
      <c r="F143" s="198"/>
      <c r="G143" s="199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9"/>
      <c r="AA143" s="198"/>
      <c r="AB143" s="198"/>
      <c r="AC143" s="198"/>
      <c r="AD143" s="198"/>
      <c r="AE143" s="198"/>
      <c r="AF143" s="198"/>
      <c r="AG143" s="198"/>
      <c r="AH143" s="198"/>
      <c r="AI143" s="198"/>
      <c r="AJ143" s="198"/>
      <c r="AK143" s="198"/>
      <c r="AL143" s="198"/>
    </row>
    <row r="144" ht="15.75" customHeight="1">
      <c r="A144" s="198"/>
      <c r="B144" s="198"/>
      <c r="C144" s="198"/>
      <c r="D144" s="198"/>
      <c r="E144" s="198"/>
      <c r="F144" s="198"/>
      <c r="G144" s="199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9"/>
      <c r="AA144" s="198"/>
      <c r="AB144" s="198"/>
      <c r="AC144" s="198"/>
      <c r="AD144" s="198"/>
      <c r="AE144" s="198"/>
      <c r="AF144" s="198"/>
      <c r="AG144" s="198"/>
      <c r="AH144" s="198"/>
      <c r="AI144" s="198"/>
      <c r="AJ144" s="198"/>
      <c r="AK144" s="198"/>
      <c r="AL144" s="198"/>
    </row>
    <row r="145" ht="15.75" customHeight="1">
      <c r="A145" s="198"/>
      <c r="B145" s="198"/>
      <c r="C145" s="198"/>
      <c r="D145" s="198"/>
      <c r="E145" s="198"/>
      <c r="F145" s="198"/>
      <c r="G145" s="199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9"/>
      <c r="AA145" s="198"/>
      <c r="AB145" s="198"/>
      <c r="AC145" s="198"/>
      <c r="AD145" s="198"/>
      <c r="AE145" s="198"/>
      <c r="AF145" s="198"/>
      <c r="AG145" s="198"/>
      <c r="AH145" s="198"/>
      <c r="AI145" s="198"/>
      <c r="AJ145" s="198"/>
      <c r="AK145" s="198"/>
      <c r="AL145" s="198"/>
    </row>
    <row r="146" ht="15.75" customHeight="1">
      <c r="A146" s="198"/>
      <c r="B146" s="198"/>
      <c r="C146" s="198"/>
      <c r="D146" s="198"/>
      <c r="E146" s="198"/>
      <c r="F146" s="198"/>
      <c r="G146" s="199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9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</row>
    <row r="147" ht="15.75" customHeight="1">
      <c r="A147" s="198"/>
      <c r="B147" s="198"/>
      <c r="C147" s="198"/>
      <c r="D147" s="198"/>
      <c r="E147" s="198"/>
      <c r="F147" s="198"/>
      <c r="G147" s="199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9"/>
      <c r="AA147" s="198"/>
      <c r="AB147" s="198"/>
      <c r="AC147" s="198"/>
      <c r="AD147" s="198"/>
      <c r="AE147" s="198"/>
      <c r="AF147" s="198"/>
      <c r="AG147" s="198"/>
      <c r="AH147" s="198"/>
      <c r="AI147" s="198"/>
      <c r="AJ147" s="198"/>
      <c r="AK147" s="198"/>
      <c r="AL147" s="198"/>
    </row>
    <row r="148" ht="15.75" customHeight="1">
      <c r="A148" s="198"/>
      <c r="B148" s="198"/>
      <c r="C148" s="198"/>
      <c r="D148" s="198"/>
      <c r="E148" s="198"/>
      <c r="F148" s="198"/>
      <c r="G148" s="199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9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</row>
    <row r="149" ht="15.75" customHeight="1">
      <c r="A149" s="198"/>
      <c r="B149" s="198"/>
      <c r="C149" s="198"/>
      <c r="D149" s="198"/>
      <c r="E149" s="198"/>
      <c r="F149" s="198"/>
      <c r="G149" s="199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9"/>
      <c r="AA149" s="198"/>
      <c r="AB149" s="198"/>
      <c r="AC149" s="198"/>
      <c r="AD149" s="198"/>
      <c r="AE149" s="198"/>
      <c r="AF149" s="198"/>
      <c r="AG149" s="198"/>
      <c r="AH149" s="198"/>
      <c r="AI149" s="198"/>
      <c r="AJ149" s="198"/>
      <c r="AK149" s="198"/>
      <c r="AL149" s="198"/>
    </row>
    <row r="150" ht="15.75" customHeight="1">
      <c r="A150" s="198"/>
      <c r="B150" s="198"/>
      <c r="C150" s="198"/>
      <c r="D150" s="198"/>
      <c r="E150" s="198"/>
      <c r="F150" s="198"/>
      <c r="G150" s="199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9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</row>
    <row r="151" ht="15.75" customHeight="1">
      <c r="A151" s="198"/>
      <c r="B151" s="198"/>
      <c r="C151" s="198"/>
      <c r="D151" s="198"/>
      <c r="E151" s="198"/>
      <c r="F151" s="198"/>
      <c r="G151" s="199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9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</row>
    <row r="152" ht="15.75" customHeight="1">
      <c r="A152" s="198"/>
      <c r="B152" s="198"/>
      <c r="C152" s="198"/>
      <c r="D152" s="198"/>
      <c r="E152" s="198"/>
      <c r="F152" s="198"/>
      <c r="G152" s="199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</row>
    <row r="153" ht="15.75" customHeight="1">
      <c r="A153" s="198"/>
      <c r="B153" s="198"/>
      <c r="C153" s="198"/>
      <c r="D153" s="198"/>
      <c r="E153" s="198"/>
      <c r="F153" s="198"/>
      <c r="G153" s="199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9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</row>
    <row r="154" ht="15.75" customHeight="1">
      <c r="A154" s="198"/>
      <c r="B154" s="198"/>
      <c r="C154" s="198"/>
      <c r="D154" s="198"/>
      <c r="E154" s="198"/>
      <c r="F154" s="198"/>
      <c r="G154" s="199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9"/>
      <c r="AA154" s="198"/>
      <c r="AB154" s="198"/>
      <c r="AC154" s="198"/>
      <c r="AD154" s="198"/>
      <c r="AE154" s="198"/>
      <c r="AF154" s="198"/>
      <c r="AG154" s="198"/>
      <c r="AH154" s="198"/>
      <c r="AI154" s="198"/>
      <c r="AJ154" s="198"/>
      <c r="AK154" s="198"/>
      <c r="AL154" s="198"/>
    </row>
    <row r="155" ht="15.75" customHeight="1">
      <c r="A155" s="198"/>
      <c r="B155" s="198"/>
      <c r="C155" s="198"/>
      <c r="D155" s="198"/>
      <c r="E155" s="198"/>
      <c r="F155" s="198"/>
      <c r="G155" s="199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9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</row>
    <row r="156" ht="15.75" customHeight="1">
      <c r="A156" s="198"/>
      <c r="B156" s="198"/>
      <c r="C156" s="198"/>
      <c r="D156" s="198"/>
      <c r="E156" s="198"/>
      <c r="F156" s="198"/>
      <c r="G156" s="199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9"/>
      <c r="AA156" s="198"/>
      <c r="AB156" s="198"/>
      <c r="AC156" s="198"/>
      <c r="AD156" s="198"/>
      <c r="AE156" s="198"/>
      <c r="AF156" s="198"/>
      <c r="AG156" s="198"/>
      <c r="AH156" s="198"/>
      <c r="AI156" s="198"/>
      <c r="AJ156" s="198"/>
      <c r="AK156" s="198"/>
      <c r="AL156" s="198"/>
    </row>
    <row r="157" ht="15.75" customHeight="1">
      <c r="A157" s="198"/>
      <c r="B157" s="198"/>
      <c r="C157" s="198"/>
      <c r="D157" s="198"/>
      <c r="E157" s="198"/>
      <c r="F157" s="198"/>
      <c r="G157" s="199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9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</row>
    <row r="158" ht="15.75" customHeight="1">
      <c r="A158" s="198"/>
      <c r="B158" s="198"/>
      <c r="C158" s="198"/>
      <c r="D158" s="198"/>
      <c r="E158" s="198"/>
      <c r="F158" s="198"/>
      <c r="G158" s="199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9"/>
      <c r="AA158" s="198"/>
      <c r="AB158" s="198"/>
      <c r="AC158" s="198"/>
      <c r="AD158" s="198"/>
      <c r="AE158" s="198"/>
      <c r="AF158" s="198"/>
      <c r="AG158" s="198"/>
      <c r="AH158" s="198"/>
      <c r="AI158" s="198"/>
      <c r="AJ158" s="198"/>
      <c r="AK158" s="198"/>
      <c r="AL158" s="198"/>
    </row>
    <row r="159" ht="15.75" customHeight="1">
      <c r="A159" s="198"/>
      <c r="B159" s="198"/>
      <c r="C159" s="198"/>
      <c r="D159" s="198"/>
      <c r="E159" s="198"/>
      <c r="F159" s="198"/>
      <c r="G159" s="199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9"/>
      <c r="AA159" s="198"/>
      <c r="AB159" s="198"/>
      <c r="AC159" s="198"/>
      <c r="AD159" s="198"/>
      <c r="AE159" s="198"/>
      <c r="AF159" s="198"/>
      <c r="AG159" s="198"/>
      <c r="AH159" s="198"/>
      <c r="AI159" s="198"/>
      <c r="AJ159" s="198"/>
      <c r="AK159" s="198"/>
      <c r="AL159" s="198"/>
    </row>
    <row r="160" ht="15.75" customHeight="1">
      <c r="A160" s="198"/>
      <c r="B160" s="198"/>
      <c r="C160" s="198"/>
      <c r="D160" s="198"/>
      <c r="E160" s="198"/>
      <c r="F160" s="198"/>
      <c r="G160" s="199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9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</row>
    <row r="161" ht="15.75" customHeight="1">
      <c r="A161" s="198"/>
      <c r="B161" s="198"/>
      <c r="C161" s="198"/>
      <c r="D161" s="198"/>
      <c r="E161" s="198"/>
      <c r="F161" s="198"/>
      <c r="G161" s="199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9"/>
      <c r="AA161" s="198"/>
      <c r="AB161" s="198"/>
      <c r="AC161" s="198"/>
      <c r="AD161" s="198"/>
      <c r="AE161" s="198"/>
      <c r="AF161" s="198"/>
      <c r="AG161" s="198"/>
      <c r="AH161" s="198"/>
      <c r="AI161" s="198"/>
      <c r="AJ161" s="198"/>
      <c r="AK161" s="198"/>
      <c r="AL161" s="198"/>
    </row>
    <row r="162" ht="15.75" customHeight="1">
      <c r="A162" s="198"/>
      <c r="B162" s="198"/>
      <c r="C162" s="198"/>
      <c r="D162" s="198"/>
      <c r="E162" s="198"/>
      <c r="F162" s="198"/>
      <c r="G162" s="199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9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</row>
    <row r="163" ht="15.75" customHeight="1">
      <c r="A163" s="198"/>
      <c r="B163" s="198"/>
      <c r="C163" s="198"/>
      <c r="D163" s="198"/>
      <c r="E163" s="198"/>
      <c r="F163" s="198"/>
      <c r="G163" s="199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9"/>
      <c r="AA163" s="198"/>
      <c r="AB163" s="198"/>
      <c r="AC163" s="198"/>
      <c r="AD163" s="198"/>
      <c r="AE163" s="198"/>
      <c r="AF163" s="198"/>
      <c r="AG163" s="198"/>
      <c r="AH163" s="198"/>
      <c r="AI163" s="198"/>
      <c r="AJ163" s="198"/>
      <c r="AK163" s="198"/>
      <c r="AL163" s="198"/>
    </row>
    <row r="164" ht="15.75" customHeight="1">
      <c r="A164" s="198"/>
      <c r="B164" s="198"/>
      <c r="C164" s="198"/>
      <c r="D164" s="198"/>
      <c r="E164" s="198"/>
      <c r="F164" s="198"/>
      <c r="G164" s="199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9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</row>
    <row r="165" ht="15.75" customHeight="1">
      <c r="A165" s="198"/>
      <c r="B165" s="198"/>
      <c r="C165" s="198"/>
      <c r="D165" s="198"/>
      <c r="E165" s="198"/>
      <c r="F165" s="198"/>
      <c r="G165" s="199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9"/>
      <c r="AA165" s="198"/>
      <c r="AB165" s="198"/>
      <c r="AC165" s="198"/>
      <c r="AD165" s="198"/>
      <c r="AE165" s="198"/>
      <c r="AF165" s="198"/>
      <c r="AG165" s="198"/>
      <c r="AH165" s="198"/>
      <c r="AI165" s="198"/>
      <c r="AJ165" s="198"/>
      <c r="AK165" s="198"/>
      <c r="AL165" s="198"/>
    </row>
    <row r="166" ht="15.75" customHeight="1">
      <c r="A166" s="198"/>
      <c r="B166" s="198"/>
      <c r="C166" s="198"/>
      <c r="D166" s="198"/>
      <c r="E166" s="198"/>
      <c r="F166" s="198"/>
      <c r="G166" s="199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9"/>
      <c r="AA166" s="198"/>
      <c r="AB166" s="198"/>
      <c r="AC166" s="198"/>
      <c r="AD166" s="198"/>
      <c r="AE166" s="198"/>
      <c r="AF166" s="198"/>
      <c r="AG166" s="198"/>
      <c r="AH166" s="198"/>
      <c r="AI166" s="198"/>
      <c r="AJ166" s="198"/>
      <c r="AK166" s="198"/>
      <c r="AL166" s="198"/>
    </row>
    <row r="167" ht="15.75" customHeight="1">
      <c r="A167" s="198"/>
      <c r="B167" s="198"/>
      <c r="C167" s="198"/>
      <c r="D167" s="198"/>
      <c r="E167" s="198"/>
      <c r="F167" s="198"/>
      <c r="G167" s="199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9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</row>
    <row r="168" ht="15.75" customHeight="1">
      <c r="A168" s="198"/>
      <c r="B168" s="198"/>
      <c r="C168" s="198"/>
      <c r="D168" s="198"/>
      <c r="E168" s="198"/>
      <c r="F168" s="198"/>
      <c r="G168" s="199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9"/>
      <c r="AA168" s="198"/>
      <c r="AB168" s="198"/>
      <c r="AC168" s="198"/>
      <c r="AD168" s="198"/>
      <c r="AE168" s="198"/>
      <c r="AF168" s="198"/>
      <c r="AG168" s="198"/>
      <c r="AH168" s="198"/>
      <c r="AI168" s="198"/>
      <c r="AJ168" s="198"/>
      <c r="AK168" s="198"/>
      <c r="AL168" s="198"/>
    </row>
    <row r="169" ht="15.75" customHeight="1">
      <c r="A169" s="198"/>
      <c r="B169" s="198"/>
      <c r="C169" s="198"/>
      <c r="D169" s="198"/>
      <c r="E169" s="198"/>
      <c r="F169" s="198"/>
      <c r="G169" s="199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9"/>
      <c r="AA169" s="198"/>
      <c r="AB169" s="198"/>
      <c r="AC169" s="198"/>
      <c r="AD169" s="198"/>
      <c r="AE169" s="198"/>
      <c r="AF169" s="198"/>
      <c r="AG169" s="198"/>
      <c r="AH169" s="198"/>
      <c r="AI169" s="198"/>
      <c r="AJ169" s="198"/>
      <c r="AK169" s="198"/>
      <c r="AL169" s="198"/>
    </row>
    <row r="170" ht="15.75" customHeight="1">
      <c r="A170" s="198"/>
      <c r="B170" s="198"/>
      <c r="C170" s="198"/>
      <c r="D170" s="198"/>
      <c r="E170" s="198"/>
      <c r="F170" s="198"/>
      <c r="G170" s="199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9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</row>
    <row r="171" ht="15.75" customHeight="1">
      <c r="A171" s="198"/>
      <c r="B171" s="198"/>
      <c r="C171" s="198"/>
      <c r="D171" s="198"/>
      <c r="E171" s="198"/>
      <c r="F171" s="198"/>
      <c r="G171" s="199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9"/>
      <c r="AA171" s="198"/>
      <c r="AB171" s="198"/>
      <c r="AC171" s="198"/>
      <c r="AD171" s="198"/>
      <c r="AE171" s="198"/>
      <c r="AF171" s="198"/>
      <c r="AG171" s="198"/>
      <c r="AH171" s="198"/>
      <c r="AI171" s="198"/>
      <c r="AJ171" s="198"/>
      <c r="AK171" s="198"/>
      <c r="AL171" s="198"/>
    </row>
    <row r="172" ht="15.75" customHeight="1">
      <c r="A172" s="198"/>
      <c r="B172" s="198"/>
      <c r="C172" s="198"/>
      <c r="D172" s="198"/>
      <c r="E172" s="198"/>
      <c r="F172" s="198"/>
      <c r="G172" s="199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9"/>
      <c r="AA172" s="198"/>
      <c r="AB172" s="198"/>
      <c r="AC172" s="198"/>
      <c r="AD172" s="198"/>
      <c r="AE172" s="198"/>
      <c r="AF172" s="198"/>
      <c r="AG172" s="198"/>
      <c r="AH172" s="198"/>
      <c r="AI172" s="198"/>
      <c r="AJ172" s="198"/>
      <c r="AK172" s="198"/>
      <c r="AL172" s="198"/>
    </row>
    <row r="173" ht="15.75" customHeight="1">
      <c r="A173" s="198"/>
      <c r="B173" s="198"/>
      <c r="C173" s="198"/>
      <c r="D173" s="198"/>
      <c r="E173" s="198"/>
      <c r="F173" s="198"/>
      <c r="G173" s="199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9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</row>
    <row r="174" ht="15.75" customHeight="1">
      <c r="A174" s="198"/>
      <c r="B174" s="198"/>
      <c r="C174" s="198"/>
      <c r="D174" s="198"/>
      <c r="E174" s="198"/>
      <c r="F174" s="198"/>
      <c r="G174" s="199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9"/>
      <c r="AA174" s="198"/>
      <c r="AB174" s="198"/>
      <c r="AC174" s="198"/>
      <c r="AD174" s="198"/>
      <c r="AE174" s="198"/>
      <c r="AF174" s="198"/>
      <c r="AG174" s="198"/>
      <c r="AH174" s="198"/>
      <c r="AI174" s="198"/>
      <c r="AJ174" s="198"/>
      <c r="AK174" s="198"/>
      <c r="AL174" s="198"/>
    </row>
    <row r="175" ht="15.75" customHeight="1">
      <c r="A175" s="198"/>
      <c r="B175" s="198"/>
      <c r="C175" s="198"/>
      <c r="D175" s="198"/>
      <c r="E175" s="198"/>
      <c r="F175" s="198"/>
      <c r="G175" s="199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9"/>
      <c r="AA175" s="198"/>
      <c r="AB175" s="198"/>
      <c r="AC175" s="198"/>
      <c r="AD175" s="198"/>
      <c r="AE175" s="198"/>
      <c r="AF175" s="198"/>
      <c r="AG175" s="198"/>
      <c r="AH175" s="198"/>
      <c r="AI175" s="198"/>
      <c r="AJ175" s="198"/>
      <c r="AK175" s="198"/>
      <c r="AL175" s="198"/>
    </row>
    <row r="176" ht="15.75" customHeight="1">
      <c r="A176" s="198"/>
      <c r="B176" s="198"/>
      <c r="C176" s="198"/>
      <c r="D176" s="198"/>
      <c r="E176" s="198"/>
      <c r="F176" s="198"/>
      <c r="G176" s="199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9"/>
      <c r="AA176" s="198"/>
      <c r="AB176" s="198"/>
      <c r="AC176" s="198"/>
      <c r="AD176" s="198"/>
      <c r="AE176" s="198"/>
      <c r="AF176" s="198"/>
      <c r="AG176" s="198"/>
      <c r="AH176" s="198"/>
      <c r="AI176" s="198"/>
      <c r="AJ176" s="198"/>
      <c r="AK176" s="198"/>
      <c r="AL176" s="198"/>
    </row>
    <row r="177" ht="15.75" customHeight="1">
      <c r="A177" s="198"/>
      <c r="B177" s="198"/>
      <c r="C177" s="198"/>
      <c r="D177" s="198"/>
      <c r="E177" s="198"/>
      <c r="F177" s="198"/>
      <c r="G177" s="199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9"/>
      <c r="AA177" s="198"/>
      <c r="AB177" s="198"/>
      <c r="AC177" s="198"/>
      <c r="AD177" s="198"/>
      <c r="AE177" s="198"/>
      <c r="AF177" s="198"/>
      <c r="AG177" s="198"/>
      <c r="AH177" s="198"/>
      <c r="AI177" s="198"/>
      <c r="AJ177" s="198"/>
      <c r="AK177" s="198"/>
      <c r="AL177" s="198"/>
    </row>
    <row r="178" ht="15.75" customHeight="1">
      <c r="A178" s="198"/>
      <c r="B178" s="198"/>
      <c r="C178" s="198"/>
      <c r="D178" s="198"/>
      <c r="E178" s="198"/>
      <c r="F178" s="198"/>
      <c r="G178" s="199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9"/>
      <c r="AA178" s="198"/>
      <c r="AB178" s="198"/>
      <c r="AC178" s="198"/>
      <c r="AD178" s="198"/>
      <c r="AE178" s="198"/>
      <c r="AF178" s="198"/>
      <c r="AG178" s="198"/>
      <c r="AH178" s="198"/>
      <c r="AI178" s="198"/>
      <c r="AJ178" s="198"/>
      <c r="AK178" s="198"/>
      <c r="AL178" s="198"/>
    </row>
    <row r="179" ht="15.75" customHeight="1">
      <c r="A179" s="198"/>
      <c r="B179" s="198"/>
      <c r="C179" s="198"/>
      <c r="D179" s="198"/>
      <c r="E179" s="198"/>
      <c r="F179" s="198"/>
      <c r="G179" s="199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9"/>
      <c r="AA179" s="198"/>
      <c r="AB179" s="198"/>
      <c r="AC179" s="198"/>
      <c r="AD179" s="198"/>
      <c r="AE179" s="198"/>
      <c r="AF179" s="198"/>
      <c r="AG179" s="198"/>
      <c r="AH179" s="198"/>
      <c r="AI179" s="198"/>
      <c r="AJ179" s="198"/>
      <c r="AK179" s="198"/>
      <c r="AL179" s="198"/>
    </row>
    <row r="180" ht="15.75" customHeight="1">
      <c r="A180" s="198"/>
      <c r="B180" s="198"/>
      <c r="C180" s="198"/>
      <c r="D180" s="198"/>
      <c r="E180" s="198"/>
      <c r="F180" s="198"/>
      <c r="G180" s="199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9"/>
      <c r="AA180" s="198"/>
      <c r="AB180" s="198"/>
      <c r="AC180" s="198"/>
      <c r="AD180" s="198"/>
      <c r="AE180" s="198"/>
      <c r="AF180" s="198"/>
      <c r="AG180" s="198"/>
      <c r="AH180" s="198"/>
      <c r="AI180" s="198"/>
      <c r="AJ180" s="198"/>
      <c r="AK180" s="198"/>
      <c r="AL180" s="198"/>
    </row>
    <row r="181" ht="15.75" customHeight="1">
      <c r="A181" s="198"/>
      <c r="B181" s="198"/>
      <c r="C181" s="198"/>
      <c r="D181" s="198"/>
      <c r="E181" s="198"/>
      <c r="F181" s="198"/>
      <c r="G181" s="199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9"/>
      <c r="AA181" s="198"/>
      <c r="AB181" s="198"/>
      <c r="AC181" s="198"/>
      <c r="AD181" s="198"/>
      <c r="AE181" s="198"/>
      <c r="AF181" s="198"/>
      <c r="AG181" s="198"/>
      <c r="AH181" s="198"/>
      <c r="AI181" s="198"/>
      <c r="AJ181" s="198"/>
      <c r="AK181" s="198"/>
      <c r="AL181" s="198"/>
    </row>
    <row r="182" ht="15.75" customHeight="1">
      <c r="A182" s="198"/>
      <c r="B182" s="198"/>
      <c r="C182" s="198"/>
      <c r="D182" s="198"/>
      <c r="E182" s="198"/>
      <c r="F182" s="198"/>
      <c r="G182" s="199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9"/>
      <c r="AA182" s="198"/>
      <c r="AB182" s="198"/>
      <c r="AC182" s="198"/>
      <c r="AD182" s="198"/>
      <c r="AE182" s="198"/>
      <c r="AF182" s="198"/>
      <c r="AG182" s="198"/>
      <c r="AH182" s="198"/>
      <c r="AI182" s="198"/>
      <c r="AJ182" s="198"/>
      <c r="AK182" s="198"/>
      <c r="AL182" s="198"/>
    </row>
    <row r="183" ht="15.75" customHeight="1">
      <c r="A183" s="198"/>
      <c r="B183" s="198"/>
      <c r="C183" s="198"/>
      <c r="D183" s="198"/>
      <c r="E183" s="198"/>
      <c r="F183" s="198"/>
      <c r="G183" s="199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9"/>
      <c r="AA183" s="198"/>
      <c r="AB183" s="198"/>
      <c r="AC183" s="198"/>
      <c r="AD183" s="198"/>
      <c r="AE183" s="198"/>
      <c r="AF183" s="198"/>
      <c r="AG183" s="198"/>
      <c r="AH183" s="198"/>
      <c r="AI183" s="198"/>
      <c r="AJ183" s="198"/>
      <c r="AK183" s="198"/>
      <c r="AL183" s="198"/>
    </row>
    <row r="184" ht="15.75" customHeight="1">
      <c r="A184" s="198"/>
      <c r="B184" s="198"/>
      <c r="C184" s="198"/>
      <c r="D184" s="198"/>
      <c r="E184" s="198"/>
      <c r="F184" s="198"/>
      <c r="G184" s="199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9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</row>
    <row r="185" ht="15.75" customHeight="1">
      <c r="A185" s="198"/>
      <c r="B185" s="198"/>
      <c r="C185" s="198"/>
      <c r="D185" s="198"/>
      <c r="E185" s="198"/>
      <c r="F185" s="198"/>
      <c r="G185" s="199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9"/>
      <c r="AA185" s="198"/>
      <c r="AB185" s="198"/>
      <c r="AC185" s="198"/>
      <c r="AD185" s="198"/>
      <c r="AE185" s="198"/>
      <c r="AF185" s="198"/>
      <c r="AG185" s="198"/>
      <c r="AH185" s="198"/>
      <c r="AI185" s="198"/>
      <c r="AJ185" s="198"/>
      <c r="AK185" s="198"/>
      <c r="AL185" s="198"/>
    </row>
    <row r="186" ht="15.75" customHeight="1">
      <c r="A186" s="198"/>
      <c r="B186" s="198"/>
      <c r="C186" s="198"/>
      <c r="D186" s="198"/>
      <c r="E186" s="198"/>
      <c r="F186" s="198"/>
      <c r="G186" s="199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9"/>
      <c r="AA186" s="198"/>
      <c r="AB186" s="198"/>
      <c r="AC186" s="198"/>
      <c r="AD186" s="198"/>
      <c r="AE186" s="198"/>
      <c r="AF186" s="198"/>
      <c r="AG186" s="198"/>
      <c r="AH186" s="198"/>
      <c r="AI186" s="198"/>
      <c r="AJ186" s="198"/>
      <c r="AK186" s="198"/>
      <c r="AL186" s="198"/>
    </row>
    <row r="187" ht="15.75" customHeight="1">
      <c r="A187" s="198"/>
      <c r="B187" s="198"/>
      <c r="C187" s="198"/>
      <c r="D187" s="198"/>
      <c r="E187" s="198"/>
      <c r="F187" s="198"/>
      <c r="G187" s="199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9"/>
      <c r="AA187" s="198"/>
      <c r="AB187" s="198"/>
      <c r="AC187" s="198"/>
      <c r="AD187" s="198"/>
      <c r="AE187" s="198"/>
      <c r="AF187" s="198"/>
      <c r="AG187" s="198"/>
      <c r="AH187" s="198"/>
      <c r="AI187" s="198"/>
      <c r="AJ187" s="198"/>
      <c r="AK187" s="198"/>
      <c r="AL187" s="198"/>
    </row>
    <row r="188" ht="15.75" customHeight="1">
      <c r="A188" s="198"/>
      <c r="B188" s="198"/>
      <c r="C188" s="198"/>
      <c r="D188" s="198"/>
      <c r="E188" s="198"/>
      <c r="F188" s="198"/>
      <c r="G188" s="199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9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</row>
    <row r="189" ht="15.75" customHeight="1">
      <c r="A189" s="198"/>
      <c r="B189" s="198"/>
      <c r="C189" s="198"/>
      <c r="D189" s="198"/>
      <c r="E189" s="198"/>
      <c r="F189" s="198"/>
      <c r="G189" s="199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9"/>
      <c r="AA189" s="198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</row>
    <row r="190" ht="15.75" customHeight="1">
      <c r="A190" s="198"/>
      <c r="B190" s="198"/>
      <c r="C190" s="198"/>
      <c r="D190" s="198"/>
      <c r="E190" s="198"/>
      <c r="F190" s="198"/>
      <c r="G190" s="199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9"/>
      <c r="AA190" s="198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</row>
    <row r="191" ht="15.75" customHeight="1">
      <c r="A191" s="198"/>
      <c r="B191" s="198"/>
      <c r="C191" s="198"/>
      <c r="D191" s="198"/>
      <c r="E191" s="198"/>
      <c r="F191" s="198"/>
      <c r="G191" s="199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9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</row>
    <row r="192" ht="15.75" customHeight="1">
      <c r="A192" s="198"/>
      <c r="B192" s="198"/>
      <c r="C192" s="198"/>
      <c r="D192" s="198"/>
      <c r="E192" s="198"/>
      <c r="F192" s="198"/>
      <c r="G192" s="199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9"/>
      <c r="AA192" s="198"/>
      <c r="AB192" s="198"/>
      <c r="AC192" s="198"/>
      <c r="AD192" s="198"/>
      <c r="AE192" s="198"/>
      <c r="AF192" s="198"/>
      <c r="AG192" s="198"/>
      <c r="AH192" s="198"/>
      <c r="AI192" s="198"/>
      <c r="AJ192" s="198"/>
      <c r="AK192" s="198"/>
      <c r="AL192" s="198"/>
    </row>
    <row r="193" ht="15.75" customHeight="1">
      <c r="A193" s="198"/>
      <c r="B193" s="198"/>
      <c r="C193" s="198"/>
      <c r="D193" s="198"/>
      <c r="E193" s="198"/>
      <c r="F193" s="198"/>
      <c r="G193" s="199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9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</row>
    <row r="194" ht="15.75" customHeight="1">
      <c r="A194" s="198"/>
      <c r="B194" s="198"/>
      <c r="C194" s="198"/>
      <c r="D194" s="198"/>
      <c r="E194" s="198"/>
      <c r="F194" s="198"/>
      <c r="G194" s="199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9"/>
      <c r="AA194" s="198"/>
      <c r="AB194" s="198"/>
      <c r="AC194" s="198"/>
      <c r="AD194" s="198"/>
      <c r="AE194" s="198"/>
      <c r="AF194" s="198"/>
      <c r="AG194" s="198"/>
      <c r="AH194" s="198"/>
      <c r="AI194" s="198"/>
      <c r="AJ194" s="198"/>
      <c r="AK194" s="198"/>
      <c r="AL194" s="198"/>
    </row>
    <row r="195" ht="15.75" customHeight="1">
      <c r="A195" s="198"/>
      <c r="B195" s="198"/>
      <c r="C195" s="198"/>
      <c r="D195" s="198"/>
      <c r="E195" s="198"/>
      <c r="F195" s="198"/>
      <c r="G195" s="199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9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</row>
    <row r="196" ht="15.75" customHeight="1">
      <c r="A196" s="198"/>
      <c r="B196" s="198"/>
      <c r="C196" s="198"/>
      <c r="D196" s="198"/>
      <c r="E196" s="198"/>
      <c r="F196" s="198"/>
      <c r="G196" s="199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9"/>
      <c r="AA196" s="198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</row>
    <row r="197" ht="15.75" customHeight="1">
      <c r="A197" s="198"/>
      <c r="B197" s="198"/>
      <c r="C197" s="198"/>
      <c r="D197" s="198"/>
      <c r="E197" s="198"/>
      <c r="F197" s="198"/>
      <c r="G197" s="199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9"/>
      <c r="AA197" s="198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</row>
    <row r="198" ht="15.75" customHeight="1">
      <c r="A198" s="198"/>
      <c r="B198" s="198"/>
      <c r="C198" s="198"/>
      <c r="D198" s="198"/>
      <c r="E198" s="198"/>
      <c r="F198" s="198"/>
      <c r="G198" s="199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9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</row>
    <row r="199" ht="15.75" customHeight="1">
      <c r="A199" s="198"/>
      <c r="B199" s="198"/>
      <c r="C199" s="198"/>
      <c r="D199" s="198"/>
      <c r="E199" s="198"/>
      <c r="F199" s="198"/>
      <c r="G199" s="199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9"/>
      <c r="AA199" s="198"/>
      <c r="AB199" s="198"/>
      <c r="AC199" s="198"/>
      <c r="AD199" s="198"/>
      <c r="AE199" s="198"/>
      <c r="AF199" s="198"/>
      <c r="AG199" s="198"/>
      <c r="AH199" s="198"/>
      <c r="AI199" s="198"/>
      <c r="AJ199" s="198"/>
      <c r="AK199" s="198"/>
      <c r="AL199" s="198"/>
    </row>
    <row r="200" ht="15.75" customHeight="1">
      <c r="A200" s="198"/>
      <c r="B200" s="198"/>
      <c r="C200" s="198"/>
      <c r="D200" s="198"/>
      <c r="E200" s="198"/>
      <c r="F200" s="198"/>
      <c r="G200" s="199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9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</row>
    <row r="201" ht="15.75" customHeight="1">
      <c r="A201" s="198"/>
      <c r="B201" s="198"/>
      <c r="C201" s="198"/>
      <c r="D201" s="198"/>
      <c r="E201" s="198"/>
      <c r="F201" s="198"/>
      <c r="G201" s="199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9"/>
      <c r="AA201" s="198"/>
      <c r="AB201" s="198"/>
      <c r="AC201" s="198"/>
      <c r="AD201" s="198"/>
      <c r="AE201" s="198"/>
      <c r="AF201" s="198"/>
      <c r="AG201" s="198"/>
      <c r="AH201" s="198"/>
      <c r="AI201" s="198"/>
      <c r="AJ201" s="198"/>
      <c r="AK201" s="198"/>
      <c r="AL201" s="198"/>
    </row>
    <row r="202" ht="15.75" customHeight="1">
      <c r="A202" s="198"/>
      <c r="B202" s="198"/>
      <c r="C202" s="198"/>
      <c r="D202" s="198"/>
      <c r="E202" s="198"/>
      <c r="F202" s="198"/>
      <c r="G202" s="199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9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</row>
    <row r="203" ht="15.75" customHeight="1">
      <c r="A203" s="198"/>
      <c r="B203" s="198"/>
      <c r="C203" s="198"/>
      <c r="D203" s="198"/>
      <c r="E203" s="198"/>
      <c r="F203" s="198"/>
      <c r="G203" s="199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9"/>
      <c r="AA203" s="198"/>
      <c r="AB203" s="198"/>
      <c r="AC203" s="198"/>
      <c r="AD203" s="198"/>
      <c r="AE203" s="198"/>
      <c r="AF203" s="198"/>
      <c r="AG203" s="198"/>
      <c r="AH203" s="198"/>
      <c r="AI203" s="198"/>
      <c r="AJ203" s="198"/>
      <c r="AK203" s="198"/>
      <c r="AL203" s="198"/>
    </row>
    <row r="204" ht="15.75" customHeight="1">
      <c r="A204" s="198"/>
      <c r="B204" s="198"/>
      <c r="C204" s="198"/>
      <c r="D204" s="198"/>
      <c r="E204" s="198"/>
      <c r="F204" s="198"/>
      <c r="G204" s="199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9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</row>
    <row r="205" ht="15.75" customHeight="1">
      <c r="A205" s="198"/>
      <c r="B205" s="198"/>
      <c r="C205" s="198"/>
      <c r="D205" s="198"/>
      <c r="E205" s="198"/>
      <c r="F205" s="198"/>
      <c r="G205" s="199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9"/>
      <c r="AA205" s="198"/>
      <c r="AB205" s="198"/>
      <c r="AC205" s="198"/>
      <c r="AD205" s="198"/>
      <c r="AE205" s="198"/>
      <c r="AF205" s="198"/>
      <c r="AG205" s="198"/>
      <c r="AH205" s="198"/>
      <c r="AI205" s="198"/>
      <c r="AJ205" s="198"/>
      <c r="AK205" s="198"/>
      <c r="AL205" s="198"/>
    </row>
    <row r="206" ht="15.75" customHeight="1">
      <c r="A206" s="198"/>
      <c r="B206" s="198"/>
      <c r="C206" s="198"/>
      <c r="D206" s="198"/>
      <c r="E206" s="198"/>
      <c r="F206" s="198"/>
      <c r="G206" s="199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9"/>
      <c r="AA206" s="198"/>
      <c r="AB206" s="198"/>
      <c r="AC206" s="198"/>
      <c r="AD206" s="198"/>
      <c r="AE206" s="198"/>
      <c r="AF206" s="198"/>
      <c r="AG206" s="198"/>
      <c r="AH206" s="198"/>
      <c r="AI206" s="198"/>
      <c r="AJ206" s="198"/>
      <c r="AK206" s="198"/>
      <c r="AL206" s="198"/>
    </row>
    <row r="207" ht="15.75" customHeight="1">
      <c r="A207" s="198"/>
      <c r="B207" s="198"/>
      <c r="C207" s="198"/>
      <c r="D207" s="198"/>
      <c r="E207" s="198"/>
      <c r="F207" s="198"/>
      <c r="G207" s="199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8"/>
      <c r="AB207" s="198"/>
      <c r="AC207" s="198"/>
      <c r="AD207" s="198"/>
      <c r="AE207" s="198"/>
      <c r="AF207" s="198"/>
      <c r="AG207" s="198"/>
      <c r="AH207" s="198"/>
      <c r="AI207" s="198"/>
      <c r="AJ207" s="198"/>
      <c r="AK207" s="198"/>
      <c r="AL207" s="198"/>
    </row>
    <row r="208" ht="15.75" customHeight="1">
      <c r="A208" s="198"/>
      <c r="B208" s="198"/>
      <c r="C208" s="198"/>
      <c r="D208" s="198"/>
      <c r="E208" s="198"/>
      <c r="F208" s="198"/>
      <c r="G208" s="199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9"/>
      <c r="AA208" s="198"/>
      <c r="AB208" s="198"/>
      <c r="AC208" s="198"/>
      <c r="AD208" s="198"/>
      <c r="AE208" s="198"/>
      <c r="AF208" s="198"/>
      <c r="AG208" s="198"/>
      <c r="AH208" s="198"/>
      <c r="AI208" s="198"/>
      <c r="AJ208" s="198"/>
      <c r="AK208" s="198"/>
      <c r="AL208" s="198"/>
    </row>
    <row r="209" ht="15.75" customHeight="1">
      <c r="A209" s="198"/>
      <c r="B209" s="198"/>
      <c r="C209" s="198"/>
      <c r="D209" s="198"/>
      <c r="E209" s="198"/>
      <c r="F209" s="198"/>
      <c r="G209" s="199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9"/>
      <c r="AA209" s="198"/>
      <c r="AB209" s="198"/>
      <c r="AC209" s="198"/>
      <c r="AD209" s="198"/>
      <c r="AE209" s="198"/>
      <c r="AF209" s="198"/>
      <c r="AG209" s="198"/>
      <c r="AH209" s="198"/>
      <c r="AI209" s="198"/>
      <c r="AJ209" s="198"/>
      <c r="AK209" s="198"/>
      <c r="AL209" s="198"/>
    </row>
    <row r="210" ht="15.75" customHeight="1">
      <c r="A210" s="198"/>
      <c r="B210" s="198"/>
      <c r="C210" s="198"/>
      <c r="D210" s="198"/>
      <c r="E210" s="198"/>
      <c r="F210" s="198"/>
      <c r="G210" s="199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8"/>
      <c r="AB210" s="198"/>
      <c r="AC210" s="198"/>
      <c r="AD210" s="198"/>
      <c r="AE210" s="198"/>
      <c r="AF210" s="198"/>
      <c r="AG210" s="198"/>
      <c r="AH210" s="198"/>
      <c r="AI210" s="198"/>
      <c r="AJ210" s="198"/>
      <c r="AK210" s="198"/>
      <c r="AL210" s="198"/>
    </row>
    <row r="211" ht="15.75" customHeight="1">
      <c r="A211" s="198"/>
      <c r="B211" s="198"/>
      <c r="C211" s="198"/>
      <c r="D211" s="198"/>
      <c r="E211" s="198"/>
      <c r="F211" s="198"/>
      <c r="G211" s="199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8"/>
      <c r="AB211" s="198"/>
      <c r="AC211" s="198"/>
      <c r="AD211" s="198"/>
      <c r="AE211" s="198"/>
      <c r="AF211" s="198"/>
      <c r="AG211" s="198"/>
      <c r="AH211" s="198"/>
      <c r="AI211" s="198"/>
      <c r="AJ211" s="198"/>
      <c r="AK211" s="198"/>
      <c r="AL211" s="198"/>
    </row>
    <row r="212" ht="15.75" customHeight="1">
      <c r="A212" s="198"/>
      <c r="B212" s="198"/>
      <c r="C212" s="198"/>
      <c r="D212" s="198"/>
      <c r="E212" s="198"/>
      <c r="F212" s="198"/>
      <c r="G212" s="199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9"/>
      <c r="AA212" s="198"/>
      <c r="AB212" s="198"/>
      <c r="AC212" s="198"/>
      <c r="AD212" s="198"/>
      <c r="AE212" s="198"/>
      <c r="AF212" s="198"/>
      <c r="AG212" s="198"/>
      <c r="AH212" s="198"/>
      <c r="AI212" s="198"/>
      <c r="AJ212" s="198"/>
      <c r="AK212" s="198"/>
      <c r="AL212" s="198"/>
    </row>
    <row r="213" ht="15.75" customHeight="1">
      <c r="A213" s="198"/>
      <c r="B213" s="198"/>
      <c r="C213" s="198"/>
      <c r="D213" s="198"/>
      <c r="E213" s="198"/>
      <c r="F213" s="198"/>
      <c r="G213" s="199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9"/>
      <c r="AA213" s="198"/>
      <c r="AB213" s="198"/>
      <c r="AC213" s="198"/>
      <c r="AD213" s="198"/>
      <c r="AE213" s="198"/>
      <c r="AF213" s="198"/>
      <c r="AG213" s="198"/>
      <c r="AH213" s="198"/>
      <c r="AI213" s="198"/>
      <c r="AJ213" s="198"/>
      <c r="AK213" s="198"/>
      <c r="AL213" s="198"/>
    </row>
    <row r="214" ht="15.75" customHeight="1">
      <c r="A214" s="198"/>
      <c r="B214" s="198"/>
      <c r="C214" s="198"/>
      <c r="D214" s="198"/>
      <c r="E214" s="198"/>
      <c r="F214" s="198"/>
      <c r="G214" s="199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8"/>
      <c r="AB214" s="198"/>
      <c r="AC214" s="198"/>
      <c r="AD214" s="198"/>
      <c r="AE214" s="198"/>
      <c r="AF214" s="198"/>
      <c r="AG214" s="198"/>
      <c r="AH214" s="198"/>
      <c r="AI214" s="198"/>
      <c r="AJ214" s="198"/>
      <c r="AK214" s="198"/>
      <c r="AL214" s="198"/>
    </row>
    <row r="215" ht="15.75" customHeight="1">
      <c r="A215" s="198"/>
      <c r="B215" s="198"/>
      <c r="C215" s="198"/>
      <c r="D215" s="198"/>
      <c r="E215" s="198"/>
      <c r="F215" s="198"/>
      <c r="G215" s="199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9"/>
      <c r="AA215" s="198"/>
      <c r="AB215" s="198"/>
      <c r="AC215" s="198"/>
      <c r="AD215" s="198"/>
      <c r="AE215" s="198"/>
      <c r="AF215" s="198"/>
      <c r="AG215" s="198"/>
      <c r="AH215" s="198"/>
      <c r="AI215" s="198"/>
      <c r="AJ215" s="198"/>
      <c r="AK215" s="198"/>
      <c r="AL215" s="198"/>
    </row>
    <row r="216" ht="15.75" customHeight="1">
      <c r="A216" s="198"/>
      <c r="B216" s="198"/>
      <c r="C216" s="198"/>
      <c r="D216" s="198"/>
      <c r="E216" s="198"/>
      <c r="F216" s="198"/>
      <c r="G216" s="199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9"/>
      <c r="AA216" s="198"/>
      <c r="AB216" s="198"/>
      <c r="AC216" s="198"/>
      <c r="AD216" s="198"/>
      <c r="AE216" s="198"/>
      <c r="AF216" s="198"/>
      <c r="AG216" s="198"/>
      <c r="AH216" s="198"/>
      <c r="AI216" s="198"/>
      <c r="AJ216" s="198"/>
      <c r="AK216" s="198"/>
      <c r="AL216" s="198"/>
    </row>
    <row r="217" ht="15.75" customHeight="1">
      <c r="A217" s="198"/>
      <c r="B217" s="198"/>
      <c r="C217" s="198"/>
      <c r="D217" s="198"/>
      <c r="E217" s="198"/>
      <c r="F217" s="198"/>
      <c r="G217" s="199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9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</row>
    <row r="218" ht="15.75" customHeight="1">
      <c r="A218" s="198"/>
      <c r="B218" s="198"/>
      <c r="C218" s="198"/>
      <c r="D218" s="198"/>
      <c r="E218" s="198"/>
      <c r="F218" s="198"/>
      <c r="G218" s="199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9"/>
      <c r="AA218" s="198"/>
      <c r="AB218" s="198"/>
      <c r="AC218" s="198"/>
      <c r="AD218" s="198"/>
      <c r="AE218" s="198"/>
      <c r="AF218" s="198"/>
      <c r="AG218" s="198"/>
      <c r="AH218" s="198"/>
      <c r="AI218" s="198"/>
      <c r="AJ218" s="198"/>
      <c r="AK218" s="198"/>
      <c r="AL218" s="198"/>
    </row>
    <row r="219" ht="15.75" customHeight="1">
      <c r="A219" s="198"/>
      <c r="B219" s="198"/>
      <c r="C219" s="198"/>
      <c r="D219" s="198"/>
      <c r="E219" s="198"/>
      <c r="F219" s="198"/>
      <c r="G219" s="199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9"/>
      <c r="AA219" s="198"/>
      <c r="AB219" s="198"/>
      <c r="AC219" s="198"/>
      <c r="AD219" s="198"/>
      <c r="AE219" s="198"/>
      <c r="AF219" s="198"/>
      <c r="AG219" s="198"/>
      <c r="AH219" s="198"/>
      <c r="AI219" s="198"/>
      <c r="AJ219" s="198"/>
      <c r="AK219" s="198"/>
      <c r="AL219" s="198"/>
    </row>
    <row r="220" ht="15.75" customHeight="1">
      <c r="A220" s="198"/>
      <c r="B220" s="198"/>
      <c r="C220" s="198"/>
      <c r="D220" s="198"/>
      <c r="E220" s="198"/>
      <c r="F220" s="198"/>
      <c r="G220" s="199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9"/>
      <c r="AA220" s="198"/>
      <c r="AB220" s="198"/>
      <c r="AC220" s="198"/>
      <c r="AD220" s="198"/>
      <c r="AE220" s="198"/>
      <c r="AF220" s="198"/>
      <c r="AG220" s="198"/>
      <c r="AH220" s="198"/>
      <c r="AI220" s="198"/>
      <c r="AJ220" s="198"/>
      <c r="AK220" s="198"/>
      <c r="AL220" s="198"/>
    </row>
    <row r="221" ht="15.75" customHeight="1">
      <c r="A221" s="198"/>
      <c r="B221" s="198"/>
      <c r="C221" s="198"/>
      <c r="D221" s="198"/>
      <c r="E221" s="198"/>
      <c r="F221" s="198"/>
      <c r="G221" s="199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9"/>
      <c r="AA221" s="198"/>
      <c r="AB221" s="198"/>
      <c r="AC221" s="198"/>
      <c r="AD221" s="198"/>
      <c r="AE221" s="198"/>
      <c r="AF221" s="198"/>
      <c r="AG221" s="198"/>
      <c r="AH221" s="198"/>
      <c r="AI221" s="198"/>
      <c r="AJ221" s="198"/>
      <c r="AK221" s="198"/>
      <c r="AL221" s="198"/>
    </row>
    <row r="222" ht="15.75" customHeight="1">
      <c r="A222" s="198"/>
      <c r="B222" s="198"/>
      <c r="C222" s="198"/>
      <c r="D222" s="198"/>
      <c r="E222" s="198"/>
      <c r="F222" s="198"/>
      <c r="G222" s="199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9"/>
      <c r="AA222" s="198"/>
      <c r="AB222" s="198"/>
      <c r="AC222" s="198"/>
      <c r="AD222" s="198"/>
      <c r="AE222" s="198"/>
      <c r="AF222" s="198"/>
      <c r="AG222" s="198"/>
      <c r="AH222" s="198"/>
      <c r="AI222" s="198"/>
      <c r="AJ222" s="198"/>
      <c r="AK222" s="198"/>
      <c r="AL222" s="198"/>
    </row>
    <row r="223" ht="15.75" customHeight="1">
      <c r="A223" s="198"/>
      <c r="B223" s="198"/>
      <c r="C223" s="198"/>
      <c r="D223" s="198"/>
      <c r="E223" s="198"/>
      <c r="F223" s="198"/>
      <c r="G223" s="199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9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</row>
    <row r="224" ht="15.75" customHeight="1">
      <c r="A224" s="198"/>
      <c r="B224" s="198"/>
      <c r="C224" s="198"/>
      <c r="D224" s="198"/>
      <c r="E224" s="198"/>
      <c r="F224" s="198"/>
      <c r="G224" s="199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9"/>
      <c r="AA224" s="198"/>
      <c r="AB224" s="198"/>
      <c r="AC224" s="198"/>
      <c r="AD224" s="198"/>
      <c r="AE224" s="198"/>
      <c r="AF224" s="198"/>
      <c r="AG224" s="198"/>
      <c r="AH224" s="198"/>
      <c r="AI224" s="198"/>
      <c r="AJ224" s="198"/>
      <c r="AK224" s="198"/>
      <c r="AL224" s="198"/>
    </row>
    <row r="225" ht="15.75" customHeight="1">
      <c r="A225" s="198"/>
      <c r="B225" s="198"/>
      <c r="C225" s="198"/>
      <c r="D225" s="198"/>
      <c r="E225" s="198"/>
      <c r="F225" s="198"/>
      <c r="G225" s="199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9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</row>
    <row r="226" ht="15.75" customHeight="1">
      <c r="A226" s="198"/>
      <c r="B226" s="198"/>
      <c r="C226" s="198"/>
      <c r="D226" s="198"/>
      <c r="E226" s="198"/>
      <c r="F226" s="198"/>
      <c r="G226" s="199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9"/>
      <c r="AA226" s="198"/>
      <c r="AB226" s="198"/>
      <c r="AC226" s="198"/>
      <c r="AD226" s="198"/>
      <c r="AE226" s="198"/>
      <c r="AF226" s="198"/>
      <c r="AG226" s="198"/>
      <c r="AH226" s="198"/>
      <c r="AI226" s="198"/>
      <c r="AJ226" s="198"/>
      <c r="AK226" s="198"/>
      <c r="AL226" s="198"/>
    </row>
    <row r="227" ht="15.75" customHeight="1">
      <c r="A227" s="198"/>
      <c r="B227" s="198"/>
      <c r="C227" s="198"/>
      <c r="D227" s="198"/>
      <c r="E227" s="198"/>
      <c r="F227" s="198"/>
      <c r="G227" s="199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9"/>
      <c r="AA227" s="198"/>
      <c r="AB227" s="198"/>
      <c r="AC227" s="198"/>
      <c r="AD227" s="198"/>
      <c r="AE227" s="198"/>
      <c r="AF227" s="198"/>
      <c r="AG227" s="198"/>
      <c r="AH227" s="198"/>
      <c r="AI227" s="198"/>
      <c r="AJ227" s="198"/>
      <c r="AK227" s="198"/>
      <c r="AL227" s="198"/>
    </row>
    <row r="228" ht="15.75" customHeight="1">
      <c r="A228" s="198"/>
      <c r="B228" s="198"/>
      <c r="C228" s="198"/>
      <c r="D228" s="198"/>
      <c r="E228" s="198"/>
      <c r="F228" s="198"/>
      <c r="G228" s="199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9"/>
      <c r="AA228" s="198"/>
      <c r="AB228" s="198"/>
      <c r="AC228" s="198"/>
      <c r="AD228" s="198"/>
      <c r="AE228" s="198"/>
      <c r="AF228" s="198"/>
      <c r="AG228" s="198"/>
      <c r="AH228" s="198"/>
      <c r="AI228" s="198"/>
      <c r="AJ228" s="198"/>
      <c r="AK228" s="198"/>
      <c r="AL228" s="198"/>
    </row>
    <row r="229" ht="15.75" customHeight="1">
      <c r="A229" s="198"/>
      <c r="B229" s="198"/>
      <c r="C229" s="198"/>
      <c r="D229" s="198"/>
      <c r="E229" s="198"/>
      <c r="F229" s="198"/>
      <c r="G229" s="199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9"/>
      <c r="AA229" s="198"/>
      <c r="AB229" s="198"/>
      <c r="AC229" s="198"/>
      <c r="AD229" s="198"/>
      <c r="AE229" s="198"/>
      <c r="AF229" s="198"/>
      <c r="AG229" s="198"/>
      <c r="AH229" s="198"/>
      <c r="AI229" s="198"/>
      <c r="AJ229" s="198"/>
      <c r="AK229" s="198"/>
      <c r="AL229" s="198"/>
    </row>
    <row r="230" ht="15.75" customHeight="1">
      <c r="A230" s="198"/>
      <c r="B230" s="198"/>
      <c r="C230" s="198"/>
      <c r="D230" s="198"/>
      <c r="E230" s="198"/>
      <c r="F230" s="198"/>
      <c r="G230" s="199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9"/>
      <c r="AA230" s="198"/>
      <c r="AB230" s="198"/>
      <c r="AC230" s="198"/>
      <c r="AD230" s="198"/>
      <c r="AE230" s="198"/>
      <c r="AF230" s="198"/>
      <c r="AG230" s="198"/>
      <c r="AH230" s="198"/>
      <c r="AI230" s="198"/>
      <c r="AJ230" s="198"/>
      <c r="AK230" s="198"/>
      <c r="AL230" s="198"/>
    </row>
    <row r="231" ht="15.75" customHeight="1">
      <c r="A231" s="198"/>
      <c r="B231" s="198"/>
      <c r="C231" s="198"/>
      <c r="D231" s="198"/>
      <c r="E231" s="198"/>
      <c r="F231" s="198"/>
      <c r="G231" s="199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9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</row>
    <row r="232" ht="15.75" customHeight="1">
      <c r="A232" s="198"/>
      <c r="B232" s="198"/>
      <c r="C232" s="198"/>
      <c r="D232" s="198"/>
      <c r="E232" s="198"/>
      <c r="F232" s="198"/>
      <c r="G232" s="199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9"/>
      <c r="AA232" s="198"/>
      <c r="AB232" s="198"/>
      <c r="AC232" s="198"/>
      <c r="AD232" s="198"/>
      <c r="AE232" s="198"/>
      <c r="AF232" s="198"/>
      <c r="AG232" s="198"/>
      <c r="AH232" s="198"/>
      <c r="AI232" s="198"/>
      <c r="AJ232" s="198"/>
      <c r="AK232" s="198"/>
      <c r="AL232" s="198"/>
    </row>
    <row r="233" ht="15.75" customHeight="1">
      <c r="A233" s="198"/>
      <c r="B233" s="198"/>
      <c r="C233" s="198"/>
      <c r="D233" s="198"/>
      <c r="E233" s="198"/>
      <c r="F233" s="198"/>
      <c r="G233" s="199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9"/>
      <c r="AA233" s="198"/>
      <c r="AB233" s="198"/>
      <c r="AC233" s="198"/>
      <c r="AD233" s="198"/>
      <c r="AE233" s="198"/>
      <c r="AF233" s="198"/>
      <c r="AG233" s="198"/>
      <c r="AH233" s="198"/>
      <c r="AI233" s="198"/>
      <c r="AJ233" s="198"/>
      <c r="AK233" s="198"/>
      <c r="AL233" s="198"/>
    </row>
    <row r="234" ht="15.75" customHeight="1">
      <c r="A234" s="198"/>
      <c r="B234" s="198"/>
      <c r="C234" s="198"/>
      <c r="D234" s="198"/>
      <c r="E234" s="198"/>
      <c r="F234" s="198"/>
      <c r="G234" s="199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9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</row>
    <row r="235" ht="15.75" customHeight="1">
      <c r="A235" s="198"/>
      <c r="B235" s="198"/>
      <c r="C235" s="198"/>
      <c r="D235" s="198"/>
      <c r="E235" s="198"/>
      <c r="F235" s="198"/>
      <c r="G235" s="199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9"/>
      <c r="AA235" s="198"/>
      <c r="AB235" s="198"/>
      <c r="AC235" s="198"/>
      <c r="AD235" s="198"/>
      <c r="AE235" s="198"/>
      <c r="AF235" s="198"/>
      <c r="AG235" s="198"/>
      <c r="AH235" s="198"/>
      <c r="AI235" s="198"/>
      <c r="AJ235" s="198"/>
      <c r="AK235" s="198"/>
      <c r="AL235" s="198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24">
    <mergeCell ref="N2:R2"/>
    <mergeCell ref="M4:R4"/>
    <mergeCell ref="M5:R5"/>
    <mergeCell ref="A1:B1"/>
    <mergeCell ref="C1:D1"/>
    <mergeCell ref="E1:M1"/>
    <mergeCell ref="N1:R1"/>
    <mergeCell ref="C2:D2"/>
    <mergeCell ref="E2:M2"/>
    <mergeCell ref="C3:R3"/>
    <mergeCell ref="C5:D5"/>
    <mergeCell ref="E5:I5"/>
    <mergeCell ref="B26:D26"/>
    <mergeCell ref="B32:D32"/>
    <mergeCell ref="B33:D33"/>
    <mergeCell ref="B34:D34"/>
    <mergeCell ref="B35:D35"/>
    <mergeCell ref="A2:B2"/>
    <mergeCell ref="A3:B3"/>
    <mergeCell ref="A4:B4"/>
    <mergeCell ref="C4:D4"/>
    <mergeCell ref="E4:I4"/>
    <mergeCell ref="J4:L4"/>
    <mergeCell ref="A5:B5"/>
  </mergeCells>
  <dataValidations>
    <dataValidation type="list" allowBlank="1" showInputMessage="1" showErrorMessage="1" prompt=" - " sqref="E33:R33">
      <formula1>"P,F"</formula1>
    </dataValidation>
    <dataValidation type="list" allowBlank="1" showInputMessage="1" showErrorMessage="1" prompt=" - " sqref="E8:R31">
      <formula1>"O"</formula1>
    </dataValidation>
    <dataValidation type="list" allowBlank="1" showInputMessage="1" showErrorMessage="1" prompt=" - " sqref="E32:R32">
      <formula1>"N,A,B"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9.0"/>
    <col customWidth="1" min="4" max="4" width="21.38"/>
    <col customWidth="1" min="5" max="25" width="4.88"/>
  </cols>
  <sheetData>
    <row r="1">
      <c r="A1" s="159" t="s">
        <v>195</v>
      </c>
      <c r="B1" s="160"/>
      <c r="C1" s="161" t="s">
        <v>196</v>
      </c>
      <c r="D1" s="162"/>
      <c r="E1" s="163" t="s">
        <v>197</v>
      </c>
      <c r="F1" s="160"/>
      <c r="G1" s="160"/>
      <c r="H1" s="160"/>
      <c r="I1" s="160"/>
      <c r="J1" s="160"/>
      <c r="K1" s="160"/>
      <c r="L1" s="160"/>
      <c r="M1" s="160"/>
      <c r="N1" s="164" t="s">
        <v>198</v>
      </c>
      <c r="O1" s="160"/>
      <c r="P1" s="160"/>
      <c r="Q1" s="160"/>
      <c r="R1" s="165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</row>
    <row r="2">
      <c r="A2" s="168" t="s">
        <v>199</v>
      </c>
      <c r="B2" s="169"/>
      <c r="C2" s="170" t="s">
        <v>159</v>
      </c>
      <c r="D2" s="169"/>
      <c r="E2" s="171" t="s">
        <v>200</v>
      </c>
      <c r="F2" s="172"/>
      <c r="G2" s="172"/>
      <c r="H2" s="172"/>
      <c r="I2" s="172"/>
      <c r="J2" s="172"/>
      <c r="K2" s="172"/>
      <c r="L2" s="172"/>
      <c r="M2" s="173"/>
      <c r="N2" s="174" t="s">
        <v>159</v>
      </c>
      <c r="O2" s="172"/>
      <c r="P2" s="172"/>
      <c r="Q2" s="172"/>
      <c r="R2" s="175"/>
      <c r="S2" s="178"/>
      <c r="T2" s="178"/>
      <c r="U2" s="178"/>
      <c r="V2" s="178"/>
      <c r="W2" s="178"/>
      <c r="X2" s="178"/>
      <c r="Y2" s="178"/>
      <c r="Z2" s="260"/>
      <c r="AA2" s="178"/>
      <c r="AB2" s="178"/>
      <c r="AC2" s="178"/>
      <c r="AD2" s="178"/>
      <c r="AE2" s="178"/>
      <c r="AF2" s="178"/>
      <c r="AG2" s="178"/>
      <c r="AH2" s="178"/>
    </row>
    <row r="3">
      <c r="A3" s="179" t="s">
        <v>201</v>
      </c>
      <c r="B3" s="17"/>
      <c r="C3" s="180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81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</row>
    <row r="4">
      <c r="A4" s="183" t="s">
        <v>164</v>
      </c>
      <c r="B4" s="17"/>
      <c r="C4" s="184" t="s">
        <v>165</v>
      </c>
      <c r="D4" s="17"/>
      <c r="E4" s="184" t="s">
        <v>166</v>
      </c>
      <c r="F4" s="16"/>
      <c r="G4" s="16"/>
      <c r="H4" s="16"/>
      <c r="I4" s="16"/>
      <c r="J4" s="185" t="s">
        <v>202</v>
      </c>
      <c r="K4" s="16"/>
      <c r="L4" s="16"/>
      <c r="M4" s="184" t="s">
        <v>169</v>
      </c>
      <c r="N4" s="16"/>
      <c r="O4" s="16"/>
      <c r="P4" s="16"/>
      <c r="Q4" s="16"/>
      <c r="R4" s="181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</row>
    <row r="5">
      <c r="A5" s="188">
        <f>COUNTIF(E43:IE43,"P")</f>
        <v>5</v>
      </c>
      <c r="B5" s="189"/>
      <c r="C5" s="190">
        <f>COUNTIF(E43:IE43,"F")</f>
        <v>0</v>
      </c>
      <c r="D5" s="189"/>
      <c r="E5" s="191">
        <f>SUM(M5,-A5,-C5)</f>
        <v>0</v>
      </c>
      <c r="F5" s="192"/>
      <c r="G5" s="192"/>
      <c r="H5" s="192"/>
      <c r="I5" s="192"/>
      <c r="J5" s="193">
        <f>COUNTIF(A42:IA42,"N")</f>
        <v>1</v>
      </c>
      <c r="K5" s="193">
        <f>COUNTIF(B42:IB42,"A")</f>
        <v>4</v>
      </c>
      <c r="L5" s="193">
        <f>COUNTIF(C42:IC42,"B")</f>
        <v>0</v>
      </c>
      <c r="M5" s="190">
        <f>COUNTA(A7:HS7)</f>
        <v>5</v>
      </c>
      <c r="N5" s="192"/>
      <c r="O5" s="192"/>
      <c r="P5" s="192"/>
      <c r="Q5" s="192"/>
      <c r="R5" s="194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</row>
    <row r="6">
      <c r="A6" s="198"/>
      <c r="B6" s="198"/>
      <c r="C6" s="198"/>
      <c r="D6" s="198"/>
      <c r="E6" s="198"/>
      <c r="F6" s="198"/>
      <c r="G6" s="199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</row>
    <row r="7" ht="48.0" customHeight="1">
      <c r="A7" s="200"/>
      <c r="B7" s="201"/>
      <c r="C7" s="201"/>
      <c r="D7" s="201"/>
      <c r="E7" s="202" t="s">
        <v>203</v>
      </c>
      <c r="F7" s="202" t="s">
        <v>204</v>
      </c>
      <c r="G7" s="202" t="s">
        <v>205</v>
      </c>
      <c r="H7" s="202" t="s">
        <v>206</v>
      </c>
      <c r="I7" s="202" t="s">
        <v>207</v>
      </c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9"/>
      <c r="AB7" s="199"/>
      <c r="AC7" s="198"/>
      <c r="AD7" s="198"/>
      <c r="AE7" s="198"/>
      <c r="AF7" s="203"/>
      <c r="AG7" s="203"/>
      <c r="AH7" s="203"/>
    </row>
    <row r="8">
      <c r="A8" s="204" t="s">
        <v>219</v>
      </c>
      <c r="B8" s="205" t="s">
        <v>220</v>
      </c>
      <c r="C8" s="262"/>
      <c r="D8" s="263"/>
      <c r="E8" s="264"/>
      <c r="F8" s="264"/>
      <c r="G8" s="209"/>
      <c r="H8" s="264"/>
      <c r="I8" s="264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9"/>
      <c r="AB8" s="199"/>
      <c r="AC8" s="199"/>
      <c r="AD8" s="199"/>
      <c r="AE8" s="199"/>
      <c r="AF8" s="265"/>
      <c r="AG8" s="265"/>
      <c r="AH8" s="265"/>
    </row>
    <row r="9">
      <c r="A9" s="266"/>
      <c r="B9" s="267"/>
      <c r="C9" s="268"/>
      <c r="D9" s="213" t="s">
        <v>221</v>
      </c>
      <c r="E9" s="214" t="s">
        <v>222</v>
      </c>
      <c r="F9" s="214" t="s">
        <v>222</v>
      </c>
      <c r="G9" s="214" t="s">
        <v>222</v>
      </c>
      <c r="H9" s="214" t="s">
        <v>222</v>
      </c>
      <c r="I9" s="214" t="s">
        <v>222</v>
      </c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9"/>
      <c r="AB9" s="199"/>
      <c r="AC9" s="199"/>
      <c r="AD9" s="199"/>
      <c r="AE9" s="199"/>
      <c r="AF9" s="265"/>
      <c r="AG9" s="265"/>
      <c r="AH9" s="265"/>
    </row>
    <row r="10">
      <c r="A10" s="266"/>
      <c r="B10" s="215" t="s">
        <v>309</v>
      </c>
      <c r="C10" s="268"/>
      <c r="D10" s="303"/>
      <c r="E10" s="219"/>
      <c r="F10" s="219"/>
      <c r="G10" s="219"/>
      <c r="H10" s="219"/>
      <c r="I10" s="219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9"/>
      <c r="AB10" s="199"/>
      <c r="AC10" s="199"/>
      <c r="AD10" s="199"/>
      <c r="AE10" s="199"/>
      <c r="AF10" s="265"/>
      <c r="AG10" s="265"/>
      <c r="AH10" s="265"/>
    </row>
    <row r="11">
      <c r="A11" s="266"/>
      <c r="B11" s="304"/>
      <c r="C11" s="305" t="s">
        <v>310</v>
      </c>
      <c r="D11" s="213">
        <v>12.0</v>
      </c>
      <c r="E11" s="219" t="s">
        <v>222</v>
      </c>
      <c r="F11" s="219"/>
      <c r="G11" s="219"/>
      <c r="H11" s="219"/>
      <c r="I11" s="219" t="s">
        <v>222</v>
      </c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9"/>
      <c r="AB11" s="199"/>
      <c r="AC11" s="199"/>
      <c r="AD11" s="199"/>
      <c r="AE11" s="199"/>
      <c r="AF11" s="265"/>
      <c r="AG11" s="265"/>
      <c r="AH11" s="265"/>
    </row>
    <row r="12">
      <c r="A12" s="266"/>
      <c r="B12" s="221"/>
      <c r="C12" s="305" t="s">
        <v>344</v>
      </c>
      <c r="D12" s="213">
        <v>999.0</v>
      </c>
      <c r="E12" s="219"/>
      <c r="F12" s="219" t="s">
        <v>222</v>
      </c>
      <c r="G12" s="219"/>
      <c r="H12" s="219"/>
      <c r="I12" s="219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9"/>
      <c r="AB12" s="199"/>
      <c r="AC12" s="199"/>
      <c r="AD12" s="199"/>
      <c r="AE12" s="199"/>
      <c r="AF12" s="265"/>
      <c r="AG12" s="265"/>
      <c r="AH12" s="265"/>
    </row>
    <row r="13">
      <c r="A13" s="266"/>
      <c r="B13" s="221"/>
      <c r="C13" s="305" t="s">
        <v>315</v>
      </c>
      <c r="D13" s="213" t="s">
        <v>262</v>
      </c>
      <c r="E13" s="219"/>
      <c r="F13" s="219"/>
      <c r="G13" s="219" t="s">
        <v>222</v>
      </c>
      <c r="H13" s="219"/>
      <c r="I13" s="219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9"/>
      <c r="AB13" s="199"/>
      <c r="AC13" s="199"/>
      <c r="AD13" s="199"/>
      <c r="AE13" s="199"/>
      <c r="AF13" s="265"/>
      <c r="AG13" s="265"/>
      <c r="AH13" s="265"/>
    </row>
    <row r="14">
      <c r="A14" s="266"/>
      <c r="B14" s="221"/>
      <c r="C14" s="305" t="s">
        <v>316</v>
      </c>
      <c r="D14" s="213" t="s">
        <v>297</v>
      </c>
      <c r="E14" s="219"/>
      <c r="F14" s="219"/>
      <c r="G14" s="219"/>
      <c r="H14" s="219" t="s">
        <v>222</v>
      </c>
      <c r="I14" s="219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9"/>
      <c r="AB14" s="199"/>
      <c r="AC14" s="199"/>
      <c r="AD14" s="199"/>
      <c r="AE14" s="199"/>
      <c r="AF14" s="265"/>
      <c r="AG14" s="265"/>
      <c r="AH14" s="265"/>
    </row>
    <row r="15">
      <c r="A15" s="266"/>
      <c r="B15" s="215" t="s">
        <v>370</v>
      </c>
      <c r="C15" s="268"/>
      <c r="D15" s="303"/>
      <c r="E15" s="219"/>
      <c r="F15" s="219"/>
      <c r="G15" s="219"/>
      <c r="H15" s="219"/>
      <c r="I15" s="219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9"/>
      <c r="AB15" s="199"/>
      <c r="AC15" s="199"/>
      <c r="AD15" s="199"/>
      <c r="AE15" s="199"/>
      <c r="AF15" s="199"/>
      <c r="AG15" s="265"/>
      <c r="AH15" s="265"/>
    </row>
    <row r="16">
      <c r="A16" s="210"/>
      <c r="B16" s="211"/>
      <c r="C16" s="305" t="s">
        <v>346</v>
      </c>
      <c r="D16" s="218" t="s">
        <v>371</v>
      </c>
      <c r="E16" s="219" t="s">
        <v>222</v>
      </c>
      <c r="F16" s="219" t="s">
        <v>222</v>
      </c>
      <c r="G16" s="219" t="s">
        <v>222</v>
      </c>
      <c r="H16" s="219" t="s">
        <v>222</v>
      </c>
      <c r="I16" s="219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9"/>
      <c r="AB16" s="199"/>
      <c r="AC16" s="199"/>
      <c r="AD16" s="199"/>
      <c r="AE16" s="198"/>
      <c r="AF16" s="198"/>
      <c r="AG16" s="198"/>
      <c r="AH16" s="198"/>
    </row>
    <row r="17">
      <c r="A17" s="210"/>
      <c r="B17" s="211"/>
      <c r="C17" s="305" t="s">
        <v>348</v>
      </c>
      <c r="D17" s="213"/>
      <c r="E17" s="219"/>
      <c r="F17" s="219"/>
      <c r="G17" s="219"/>
      <c r="H17" s="219"/>
      <c r="I17" s="219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9"/>
      <c r="AB17" s="199"/>
      <c r="AC17" s="199"/>
      <c r="AD17" s="199"/>
      <c r="AE17" s="198"/>
      <c r="AF17" s="198"/>
      <c r="AG17" s="198"/>
      <c r="AH17" s="198"/>
    </row>
    <row r="18">
      <c r="A18" s="210"/>
      <c r="B18" s="211"/>
      <c r="C18" s="305" t="s">
        <v>349</v>
      </c>
      <c r="D18" s="218" t="s">
        <v>372</v>
      </c>
      <c r="E18" s="219"/>
      <c r="F18" s="219"/>
      <c r="G18" s="219"/>
      <c r="H18" s="219"/>
      <c r="I18" s="219" t="s">
        <v>222</v>
      </c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9"/>
      <c r="AB18" s="199"/>
      <c r="AC18" s="199"/>
      <c r="AD18" s="199"/>
      <c r="AE18" s="198"/>
      <c r="AF18" s="198"/>
      <c r="AG18" s="198"/>
      <c r="AH18" s="198"/>
    </row>
    <row r="19">
      <c r="A19" s="266"/>
      <c r="B19" s="215" t="s">
        <v>351</v>
      </c>
      <c r="C19" s="268"/>
      <c r="D19" s="303"/>
      <c r="E19" s="219"/>
      <c r="F19" s="219"/>
      <c r="G19" s="219"/>
      <c r="H19" s="219"/>
      <c r="I19" s="219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9"/>
      <c r="AB19" s="199"/>
      <c r="AC19" s="199"/>
      <c r="AD19" s="199"/>
      <c r="AE19" s="199"/>
      <c r="AF19" s="265"/>
      <c r="AG19" s="265"/>
      <c r="AH19" s="265"/>
    </row>
    <row r="20">
      <c r="A20" s="266"/>
      <c r="B20" s="304"/>
      <c r="C20" s="305" t="s">
        <v>352</v>
      </c>
      <c r="D20" s="218" t="s">
        <v>353</v>
      </c>
      <c r="E20" s="219" t="s">
        <v>222</v>
      </c>
      <c r="F20" s="219"/>
      <c r="G20" s="219"/>
      <c r="H20" s="219"/>
      <c r="I20" s="219" t="s">
        <v>222</v>
      </c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9"/>
      <c r="AB20" s="199"/>
      <c r="AC20" s="199"/>
      <c r="AD20" s="199"/>
      <c r="AE20" s="199"/>
      <c r="AF20" s="265"/>
      <c r="AG20" s="265"/>
      <c r="AH20" s="265"/>
    </row>
    <row r="21">
      <c r="A21" s="266"/>
      <c r="B21" s="221"/>
      <c r="C21" s="305" t="s">
        <v>262</v>
      </c>
      <c r="D21" s="218" t="s">
        <v>262</v>
      </c>
      <c r="E21" s="219"/>
      <c r="F21" s="219" t="s">
        <v>222</v>
      </c>
      <c r="G21" s="219"/>
      <c r="H21" s="219"/>
      <c r="I21" s="219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9"/>
      <c r="AB21" s="199"/>
      <c r="AC21" s="199"/>
      <c r="AD21" s="199"/>
      <c r="AE21" s="199"/>
      <c r="AF21" s="265"/>
      <c r="AG21" s="265"/>
      <c r="AH21" s="265"/>
    </row>
    <row r="22">
      <c r="A22" s="266"/>
      <c r="B22" s="215" t="s">
        <v>373</v>
      </c>
      <c r="C22" s="268"/>
      <c r="D22" s="303"/>
      <c r="E22" s="219"/>
      <c r="F22" s="219"/>
      <c r="G22" s="219"/>
      <c r="H22" s="219"/>
      <c r="I22" s="219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9"/>
      <c r="AB22" s="199"/>
      <c r="AC22" s="199"/>
      <c r="AD22" s="199"/>
      <c r="AE22" s="199"/>
      <c r="AF22" s="199"/>
      <c r="AG22" s="265"/>
      <c r="AH22" s="265"/>
    </row>
    <row r="23">
      <c r="A23" s="210"/>
      <c r="B23" s="211"/>
      <c r="C23" s="217" t="s">
        <v>355</v>
      </c>
      <c r="D23" s="218">
        <v>1.0</v>
      </c>
      <c r="E23" s="219" t="s">
        <v>222</v>
      </c>
      <c r="F23" s="219" t="s">
        <v>222</v>
      </c>
      <c r="G23" s="219" t="s">
        <v>222</v>
      </c>
      <c r="H23" s="219" t="s">
        <v>222</v>
      </c>
      <c r="I23" s="219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  <c r="AA23" s="199"/>
      <c r="AB23" s="199"/>
      <c r="AC23" s="199"/>
      <c r="AD23" s="199"/>
      <c r="AE23" s="198"/>
      <c r="AF23" s="198"/>
      <c r="AG23" s="198"/>
      <c r="AH23" s="198"/>
    </row>
    <row r="24">
      <c r="A24" s="210"/>
      <c r="B24" s="211"/>
      <c r="C24" s="217" t="s">
        <v>262</v>
      </c>
      <c r="D24" s="218" t="s">
        <v>262</v>
      </c>
      <c r="E24" s="219"/>
      <c r="F24" s="219"/>
      <c r="G24" s="219"/>
      <c r="H24" s="219"/>
      <c r="I24" s="219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9"/>
      <c r="AB24" s="199"/>
      <c r="AC24" s="199"/>
      <c r="AD24" s="199"/>
      <c r="AE24" s="198"/>
      <c r="AF24" s="198"/>
      <c r="AG24" s="198"/>
      <c r="AH24" s="198"/>
    </row>
    <row r="25">
      <c r="A25" s="210"/>
      <c r="B25" s="211"/>
      <c r="C25" s="217" t="s">
        <v>340</v>
      </c>
      <c r="D25" s="218" t="s">
        <v>297</v>
      </c>
      <c r="E25" s="219"/>
      <c r="F25" s="219"/>
      <c r="G25" s="219"/>
      <c r="H25" s="219"/>
      <c r="I25" s="219" t="s">
        <v>222</v>
      </c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9"/>
      <c r="AB25" s="199"/>
      <c r="AC25" s="199"/>
      <c r="AD25" s="199"/>
      <c r="AE25" s="198"/>
      <c r="AF25" s="198"/>
      <c r="AG25" s="198"/>
      <c r="AH25" s="198"/>
    </row>
    <row r="26">
      <c r="A26" s="336"/>
      <c r="B26" s="215" t="s">
        <v>356</v>
      </c>
      <c r="C26" s="212"/>
      <c r="D26" s="216"/>
      <c r="E26" s="208"/>
      <c r="F26" s="208"/>
      <c r="G26" s="208"/>
      <c r="H26" s="208"/>
      <c r="I26" s="20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337"/>
      <c r="AH26" s="337"/>
    </row>
    <row r="27">
      <c r="A27" s="336"/>
      <c r="B27" s="211"/>
      <c r="C27" s="217" t="s">
        <v>357</v>
      </c>
      <c r="D27" s="218" t="s">
        <v>358</v>
      </c>
      <c r="E27" s="219" t="s">
        <v>222</v>
      </c>
      <c r="F27" s="219" t="s">
        <v>222</v>
      </c>
      <c r="G27" s="219" t="s">
        <v>222</v>
      </c>
      <c r="H27" s="219" t="s">
        <v>222</v>
      </c>
      <c r="I27" s="20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</row>
    <row r="28">
      <c r="A28" s="220"/>
      <c r="B28" s="211"/>
      <c r="C28" s="271"/>
      <c r="D28" s="213"/>
      <c r="E28" s="219"/>
      <c r="F28" s="219"/>
      <c r="G28" s="219"/>
      <c r="H28" s="219"/>
      <c r="I28" s="219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9"/>
      <c r="AB28" s="199"/>
      <c r="AC28" s="199"/>
      <c r="AD28" s="199"/>
      <c r="AE28" s="198"/>
      <c r="AF28" s="198"/>
      <c r="AG28" s="198"/>
      <c r="AH28" s="198"/>
    </row>
    <row r="29">
      <c r="A29" s="220"/>
      <c r="B29" s="211"/>
      <c r="C29" s="271"/>
      <c r="D29" s="213"/>
      <c r="E29" s="219"/>
      <c r="F29" s="219"/>
      <c r="G29" s="219"/>
      <c r="H29" s="219"/>
      <c r="I29" s="219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9"/>
      <c r="AB29" s="199"/>
      <c r="AC29" s="199"/>
      <c r="AD29" s="199"/>
      <c r="AE29" s="198"/>
      <c r="AF29" s="198"/>
      <c r="AG29" s="198"/>
      <c r="AH29" s="198"/>
    </row>
    <row r="30" ht="21.75" customHeight="1">
      <c r="A30" s="226" t="s">
        <v>238</v>
      </c>
      <c r="B30" s="227" t="s">
        <v>239</v>
      </c>
      <c r="C30" s="228"/>
      <c r="D30" s="229"/>
      <c r="E30" s="219"/>
      <c r="F30" s="219"/>
      <c r="G30" s="219"/>
      <c r="H30" s="219"/>
      <c r="I30" s="219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9"/>
      <c r="AB30" s="199"/>
      <c r="AC30" s="199"/>
      <c r="AD30" s="199"/>
      <c r="AE30" s="199"/>
      <c r="AF30" s="265"/>
      <c r="AG30" s="265"/>
      <c r="AH30" s="265"/>
    </row>
    <row r="31" ht="22.5" customHeight="1">
      <c r="A31" s="307"/>
      <c r="B31" s="231"/>
      <c r="C31" s="228"/>
      <c r="D31" s="232" t="b">
        <v>1</v>
      </c>
      <c r="E31" s="219" t="s">
        <v>222</v>
      </c>
      <c r="F31" s="219"/>
      <c r="G31" s="219"/>
      <c r="H31" s="219"/>
      <c r="I31" s="219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9"/>
      <c r="AB31" s="199"/>
      <c r="AC31" s="199"/>
      <c r="AD31" s="199"/>
      <c r="AE31" s="199"/>
      <c r="AF31" s="265"/>
      <c r="AG31" s="265"/>
      <c r="AH31" s="265"/>
    </row>
    <row r="32" ht="21.75" customHeight="1">
      <c r="A32" s="310"/>
      <c r="B32" s="234"/>
      <c r="C32" s="235"/>
      <c r="D32" s="232" t="b">
        <v>0</v>
      </c>
      <c r="E32" s="219"/>
      <c r="F32" s="219" t="s">
        <v>222</v>
      </c>
      <c r="G32" s="219" t="s">
        <v>222</v>
      </c>
      <c r="H32" s="219" t="s">
        <v>222</v>
      </c>
      <c r="I32" s="219" t="s">
        <v>222</v>
      </c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9"/>
      <c r="AB32" s="265"/>
      <c r="AC32" s="265"/>
      <c r="AD32" s="265"/>
      <c r="AE32" s="265"/>
      <c r="AF32" s="265"/>
      <c r="AG32" s="265"/>
      <c r="AH32" s="265"/>
    </row>
    <row r="33" ht="15.75" customHeight="1">
      <c r="A33" s="310"/>
      <c r="B33" s="236" t="s">
        <v>240</v>
      </c>
      <c r="C33" s="277"/>
      <c r="D33" s="278"/>
      <c r="E33" s="219"/>
      <c r="F33" s="219"/>
      <c r="G33" s="219"/>
      <c r="H33" s="219"/>
      <c r="I33" s="219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9"/>
      <c r="AB33" s="265"/>
      <c r="AC33" s="265"/>
      <c r="AD33" s="265"/>
      <c r="AE33" s="265"/>
      <c r="AF33" s="265"/>
      <c r="AG33" s="265"/>
      <c r="AH33" s="265"/>
    </row>
    <row r="34" ht="21.75" customHeight="1">
      <c r="A34" s="297"/>
      <c r="B34" s="237"/>
      <c r="C34" s="280"/>
      <c r="D34" s="281"/>
      <c r="E34" s="219"/>
      <c r="F34" s="219"/>
      <c r="G34" s="219"/>
      <c r="H34" s="219"/>
      <c r="I34" s="219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203"/>
      <c r="AB34" s="203"/>
      <c r="AC34" s="203"/>
      <c r="AD34" s="265"/>
      <c r="AE34" s="265"/>
      <c r="AF34" s="265"/>
      <c r="AG34" s="265"/>
      <c r="AH34" s="265"/>
    </row>
    <row r="35" ht="21.75" customHeight="1">
      <c r="A35" s="297"/>
      <c r="B35" s="238"/>
      <c r="C35" s="16"/>
      <c r="D35" s="17"/>
      <c r="E35" s="219"/>
      <c r="F35" s="219"/>
      <c r="G35" s="219"/>
      <c r="H35" s="219"/>
      <c r="I35" s="219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203"/>
      <c r="AB35" s="203"/>
      <c r="AC35" s="203"/>
      <c r="AD35" s="265"/>
      <c r="AE35" s="265"/>
      <c r="AF35" s="265"/>
      <c r="AG35" s="265"/>
      <c r="AH35" s="265"/>
    </row>
    <row r="36" ht="21.75" customHeight="1">
      <c r="A36" s="297"/>
      <c r="B36" s="227" t="s">
        <v>241</v>
      </c>
      <c r="C36" s="228"/>
      <c r="D36" s="229"/>
      <c r="E36" s="219"/>
      <c r="F36" s="219"/>
      <c r="G36" s="219"/>
      <c r="H36" s="219"/>
      <c r="I36" s="219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203"/>
      <c r="AB36" s="203"/>
      <c r="AC36" s="203"/>
      <c r="AD36" s="265"/>
      <c r="AE36" s="265"/>
      <c r="AF36" s="265"/>
      <c r="AG36" s="265"/>
      <c r="AH36" s="265"/>
    </row>
    <row r="37" ht="21.75" customHeight="1">
      <c r="A37" s="297"/>
      <c r="B37" s="288"/>
      <c r="C37" s="309"/>
      <c r="D37" s="338" t="s">
        <v>374</v>
      </c>
      <c r="E37" s="219" t="s">
        <v>222</v>
      </c>
      <c r="F37" s="219"/>
      <c r="G37" s="219"/>
      <c r="H37" s="219"/>
      <c r="I37" s="219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203"/>
      <c r="AB37" s="203"/>
      <c r="AC37" s="203"/>
      <c r="AD37" s="265"/>
      <c r="AE37" s="265"/>
      <c r="AF37" s="265"/>
      <c r="AG37" s="265"/>
      <c r="AH37" s="265"/>
    </row>
    <row r="38" ht="21.75" customHeight="1">
      <c r="A38" s="297"/>
      <c r="B38" s="283"/>
      <c r="C38" s="309"/>
      <c r="D38" s="339" t="s">
        <v>375</v>
      </c>
      <c r="E38" s="219"/>
      <c r="F38" s="219"/>
      <c r="G38" s="219" t="s">
        <v>222</v>
      </c>
      <c r="H38" s="219"/>
      <c r="I38" s="219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  <c r="AA38" s="203"/>
      <c r="AB38" s="203"/>
      <c r="AC38" s="203"/>
      <c r="AD38" s="265"/>
      <c r="AE38" s="265"/>
      <c r="AF38" s="265"/>
      <c r="AG38" s="265"/>
      <c r="AH38" s="265"/>
    </row>
    <row r="39" ht="21.75" customHeight="1">
      <c r="A39" s="241"/>
      <c r="B39" s="180"/>
      <c r="C39" s="298"/>
      <c r="D39" s="340" t="s">
        <v>376</v>
      </c>
      <c r="E39" s="219"/>
      <c r="F39" s="219" t="s">
        <v>222</v>
      </c>
      <c r="G39" s="219"/>
      <c r="H39" s="219"/>
      <c r="I39" s="219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203"/>
      <c r="AB39" s="203"/>
      <c r="AC39" s="203"/>
      <c r="AD39" s="265"/>
      <c r="AE39" s="265"/>
      <c r="AF39" s="265"/>
      <c r="AG39" s="265"/>
      <c r="AH39" s="265"/>
    </row>
    <row r="40" ht="21.75" customHeight="1">
      <c r="A40" s="241"/>
      <c r="B40" s="300"/>
      <c r="C40" s="298"/>
      <c r="D40" s="339" t="s">
        <v>377</v>
      </c>
      <c r="E40" s="219"/>
      <c r="F40" s="219"/>
      <c r="G40" s="219"/>
      <c r="H40" s="219" t="s">
        <v>222</v>
      </c>
      <c r="I40" s="219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203"/>
      <c r="AB40" s="203"/>
      <c r="AC40" s="203"/>
      <c r="AD40" s="265"/>
      <c r="AE40" s="265"/>
      <c r="AF40" s="265"/>
      <c r="AG40" s="265"/>
      <c r="AH40" s="265"/>
    </row>
    <row r="41" ht="21.75" customHeight="1">
      <c r="A41" s="241"/>
      <c r="B41" s="300"/>
      <c r="C41" s="298"/>
      <c r="D41" s="339" t="s">
        <v>378</v>
      </c>
      <c r="E41" s="219"/>
      <c r="F41" s="219"/>
      <c r="G41" s="219"/>
      <c r="H41" s="219"/>
      <c r="I41" s="219" t="s">
        <v>222</v>
      </c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203"/>
      <c r="AB41" s="203"/>
      <c r="AC41" s="203"/>
      <c r="AD41" s="265"/>
      <c r="AE41" s="265"/>
      <c r="AF41" s="265"/>
      <c r="AG41" s="265"/>
      <c r="AH41" s="265"/>
    </row>
    <row r="42" ht="21.75" customHeight="1">
      <c r="A42" s="226" t="s">
        <v>249</v>
      </c>
      <c r="B42" s="245" t="s">
        <v>250</v>
      </c>
      <c r="C42" s="246"/>
      <c r="D42" s="247"/>
      <c r="E42" s="248" t="s">
        <v>167</v>
      </c>
      <c r="F42" s="248" t="s">
        <v>62</v>
      </c>
      <c r="G42" s="248" t="s">
        <v>62</v>
      </c>
      <c r="H42" s="248" t="s">
        <v>62</v>
      </c>
      <c r="I42" s="248" t="s">
        <v>62</v>
      </c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9"/>
      <c r="AB42" s="199"/>
      <c r="AC42" s="198"/>
      <c r="AD42" s="198"/>
      <c r="AE42" s="198"/>
      <c r="AF42" s="203"/>
      <c r="AG42" s="203"/>
      <c r="AH42" s="203"/>
    </row>
    <row r="43" ht="21.75" customHeight="1">
      <c r="A43" s="241"/>
      <c r="B43" s="249" t="s">
        <v>251</v>
      </c>
      <c r="C43" s="16"/>
      <c r="D43" s="17"/>
      <c r="E43" s="250" t="s">
        <v>252</v>
      </c>
      <c r="F43" s="250" t="s">
        <v>252</v>
      </c>
      <c r="G43" s="250" t="s">
        <v>252</v>
      </c>
      <c r="H43" s="250" t="s">
        <v>252</v>
      </c>
      <c r="I43" s="250" t="s">
        <v>252</v>
      </c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9"/>
      <c r="AB43" s="199"/>
      <c r="AC43" s="198"/>
      <c r="AD43" s="198"/>
      <c r="AE43" s="198"/>
      <c r="AF43" s="203"/>
      <c r="AG43" s="203"/>
      <c r="AH43" s="203"/>
    </row>
    <row r="44" ht="54.75" customHeight="1">
      <c r="A44" s="241"/>
      <c r="B44" s="251" t="s">
        <v>253</v>
      </c>
      <c r="C44" s="16"/>
      <c r="D44" s="17"/>
      <c r="E44" s="252">
        <v>45948.0</v>
      </c>
      <c r="F44" s="252">
        <v>45948.0</v>
      </c>
      <c r="G44" s="252">
        <v>45948.0</v>
      </c>
      <c r="H44" s="252">
        <v>45948.0</v>
      </c>
      <c r="I44" s="252">
        <v>45948.0</v>
      </c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9"/>
      <c r="AB44" s="199"/>
      <c r="AC44" s="198"/>
      <c r="AD44" s="198"/>
      <c r="AE44" s="198"/>
      <c r="AF44" s="203"/>
      <c r="AG44" s="203"/>
      <c r="AH44" s="203"/>
    </row>
    <row r="45" ht="74.25" customHeight="1">
      <c r="A45" s="253"/>
      <c r="B45" s="254" t="s">
        <v>254</v>
      </c>
      <c r="C45" s="255"/>
      <c r="D45" s="256"/>
      <c r="E45" s="257"/>
      <c r="F45" s="258"/>
      <c r="G45" s="259"/>
      <c r="H45" s="257"/>
      <c r="I45" s="257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9"/>
      <c r="AB45" s="199"/>
      <c r="AC45" s="198"/>
      <c r="AD45" s="198"/>
      <c r="AE45" s="198"/>
      <c r="AF45" s="203"/>
      <c r="AG45" s="203"/>
      <c r="AH45" s="203"/>
    </row>
    <row r="46" ht="21.75" customHeight="1">
      <c r="A46" s="198"/>
      <c r="B46" s="198"/>
      <c r="C46" s="198"/>
      <c r="D46" s="198"/>
      <c r="E46" s="198"/>
      <c r="F46" s="198"/>
      <c r="G46" s="199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9"/>
      <c r="AB46" s="199"/>
      <c r="AC46" s="198"/>
      <c r="AD46" s="198"/>
      <c r="AE46" s="198"/>
      <c r="AF46" s="198"/>
      <c r="AG46" s="198"/>
      <c r="AH46" s="198"/>
    </row>
    <row r="47" ht="21.75" customHeight="1">
      <c r="A47" s="198"/>
      <c r="B47" s="198"/>
      <c r="C47" s="198"/>
      <c r="D47" s="198"/>
      <c r="E47" s="198"/>
      <c r="F47" s="198"/>
      <c r="G47" s="199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9"/>
      <c r="AB47" s="199"/>
      <c r="AC47" s="198"/>
      <c r="AD47" s="198"/>
      <c r="AE47" s="198"/>
      <c r="AF47" s="198"/>
      <c r="AG47" s="198"/>
      <c r="AH47" s="198"/>
    </row>
    <row r="48" ht="21.75" customHeight="1">
      <c r="A48" s="198"/>
      <c r="B48" s="198"/>
      <c r="C48" s="198"/>
      <c r="D48" s="198"/>
      <c r="E48" s="198"/>
      <c r="F48" s="198"/>
      <c r="G48" s="199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9"/>
      <c r="AB48" s="199"/>
      <c r="AC48" s="198"/>
      <c r="AD48" s="198"/>
      <c r="AE48" s="198"/>
      <c r="AF48" s="198"/>
      <c r="AG48" s="198"/>
      <c r="AH48" s="198"/>
    </row>
    <row r="49" ht="21.75" customHeight="1">
      <c r="A49" s="198"/>
      <c r="B49" s="198"/>
      <c r="C49" s="198"/>
      <c r="D49" s="198"/>
      <c r="E49" s="198"/>
      <c r="F49" s="198"/>
      <c r="G49" s="199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9"/>
      <c r="AA49" s="199"/>
      <c r="AB49" s="199"/>
      <c r="AC49" s="198"/>
      <c r="AD49" s="198"/>
      <c r="AE49" s="198"/>
      <c r="AF49" s="198"/>
      <c r="AG49" s="198"/>
      <c r="AH49" s="198"/>
    </row>
    <row r="50" ht="21.75" customHeight="1">
      <c r="A50" s="198"/>
      <c r="B50" s="198"/>
      <c r="C50" s="198"/>
      <c r="D50" s="198"/>
      <c r="E50" s="198"/>
      <c r="F50" s="198"/>
      <c r="G50" s="199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9"/>
      <c r="AA50" s="199"/>
      <c r="AB50" s="199"/>
      <c r="AC50" s="198"/>
      <c r="AD50" s="198"/>
      <c r="AE50" s="198"/>
      <c r="AF50" s="198"/>
      <c r="AG50" s="198"/>
      <c r="AH50" s="198"/>
    </row>
    <row r="51" ht="21.75" customHeight="1">
      <c r="A51" s="198"/>
      <c r="B51" s="198"/>
      <c r="C51" s="198"/>
      <c r="D51" s="198"/>
      <c r="E51" s="198"/>
      <c r="F51" s="198"/>
      <c r="G51" s="199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9"/>
      <c r="AA51" s="199"/>
      <c r="AB51" s="199"/>
      <c r="AC51" s="198"/>
      <c r="AD51" s="198"/>
      <c r="AE51" s="198"/>
      <c r="AF51" s="198"/>
      <c r="AG51" s="198"/>
      <c r="AH51" s="198"/>
    </row>
    <row r="52" ht="21.75" customHeight="1">
      <c r="A52" s="198"/>
      <c r="B52" s="198"/>
      <c r="C52" s="198"/>
      <c r="D52" s="198"/>
      <c r="E52" s="198"/>
      <c r="F52" s="198"/>
      <c r="G52" s="199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9"/>
      <c r="AA52" s="199"/>
      <c r="AB52" s="199"/>
      <c r="AC52" s="198"/>
      <c r="AD52" s="198"/>
      <c r="AE52" s="198"/>
      <c r="AF52" s="198"/>
      <c r="AG52" s="198"/>
      <c r="AH52" s="198"/>
    </row>
    <row r="53" ht="21.75" customHeight="1">
      <c r="A53" s="198"/>
      <c r="B53" s="198"/>
      <c r="C53" s="198"/>
      <c r="D53" s="198"/>
      <c r="E53" s="198"/>
      <c r="F53" s="198"/>
      <c r="G53" s="199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9"/>
      <c r="AA53" s="199"/>
      <c r="AB53" s="199"/>
      <c r="AC53" s="198"/>
      <c r="AD53" s="198"/>
      <c r="AE53" s="198"/>
      <c r="AF53" s="198"/>
      <c r="AG53" s="198"/>
      <c r="AH53" s="198"/>
    </row>
    <row r="54" ht="21.75" customHeight="1">
      <c r="A54" s="198"/>
      <c r="B54" s="198"/>
      <c r="C54" s="198"/>
      <c r="D54" s="198"/>
      <c r="E54" s="198"/>
      <c r="F54" s="198"/>
      <c r="G54" s="199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9"/>
      <c r="AA54" s="198"/>
      <c r="AB54" s="198"/>
      <c r="AC54" s="198"/>
      <c r="AD54" s="198"/>
      <c r="AE54" s="198"/>
      <c r="AF54" s="198"/>
      <c r="AG54" s="198"/>
      <c r="AH54" s="198"/>
    </row>
    <row r="55" ht="15.75" customHeight="1">
      <c r="A55" s="198"/>
      <c r="B55" s="198"/>
      <c r="C55" s="198"/>
      <c r="D55" s="198"/>
      <c r="E55" s="198"/>
      <c r="F55" s="198"/>
      <c r="G55" s="199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9"/>
      <c r="AA55" s="198"/>
      <c r="AB55" s="198"/>
      <c r="AC55" s="198"/>
      <c r="AD55" s="198"/>
      <c r="AE55" s="198"/>
      <c r="AF55" s="198"/>
      <c r="AG55" s="198"/>
      <c r="AH55" s="198"/>
    </row>
    <row r="56" ht="18.75" customHeight="1">
      <c r="A56" s="198"/>
      <c r="B56" s="198"/>
      <c r="C56" s="198"/>
      <c r="D56" s="198"/>
      <c r="E56" s="198"/>
      <c r="F56" s="198"/>
      <c r="G56" s="199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9"/>
      <c r="AA56" s="198"/>
      <c r="AB56" s="198"/>
      <c r="AC56" s="198"/>
      <c r="AD56" s="198"/>
      <c r="AE56" s="198"/>
      <c r="AF56" s="198"/>
      <c r="AG56" s="198"/>
      <c r="AH56" s="198"/>
    </row>
    <row r="57" ht="18.75" customHeight="1">
      <c r="A57" s="198"/>
      <c r="B57" s="198"/>
      <c r="C57" s="198"/>
      <c r="D57" s="198"/>
      <c r="E57" s="198"/>
      <c r="F57" s="198"/>
      <c r="G57" s="199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9"/>
      <c r="AA57" s="198"/>
      <c r="AB57" s="198"/>
      <c r="AC57" s="198"/>
      <c r="AD57" s="198"/>
      <c r="AE57" s="198"/>
      <c r="AF57" s="198"/>
      <c r="AG57" s="198"/>
      <c r="AH57" s="198"/>
    </row>
    <row r="58" ht="18.75" customHeight="1">
      <c r="A58" s="198"/>
      <c r="B58" s="198"/>
      <c r="C58" s="198"/>
      <c r="D58" s="198"/>
      <c r="E58" s="198"/>
      <c r="F58" s="198"/>
      <c r="G58" s="199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9"/>
      <c r="AA58" s="198"/>
      <c r="AB58" s="198"/>
      <c r="AC58" s="198"/>
      <c r="AD58" s="198"/>
      <c r="AE58" s="198"/>
      <c r="AF58" s="198"/>
      <c r="AG58" s="198"/>
      <c r="AH58" s="198"/>
    </row>
    <row r="59" ht="18.75" customHeight="1">
      <c r="A59" s="198"/>
      <c r="B59" s="198"/>
      <c r="C59" s="198"/>
      <c r="D59" s="198"/>
      <c r="E59" s="198"/>
      <c r="F59" s="198"/>
      <c r="G59" s="199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9"/>
      <c r="AA59" s="198"/>
      <c r="AB59" s="198"/>
      <c r="AC59" s="198"/>
      <c r="AD59" s="198"/>
      <c r="AE59" s="198"/>
      <c r="AF59" s="198"/>
      <c r="AG59" s="198"/>
      <c r="AH59" s="198"/>
    </row>
    <row r="60" ht="18.75" customHeight="1">
      <c r="A60" s="198"/>
      <c r="B60" s="198"/>
      <c r="C60" s="198"/>
      <c r="D60" s="198"/>
      <c r="E60" s="198"/>
      <c r="F60" s="198"/>
      <c r="G60" s="199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9"/>
      <c r="AA60" s="198"/>
      <c r="AB60" s="198"/>
      <c r="AC60" s="198"/>
      <c r="AD60" s="198"/>
      <c r="AE60" s="198"/>
      <c r="AF60" s="198"/>
      <c r="AG60" s="198"/>
      <c r="AH60" s="198"/>
    </row>
    <row r="61" ht="18.75" customHeight="1">
      <c r="A61" s="198"/>
      <c r="B61" s="198"/>
      <c r="C61" s="198"/>
      <c r="D61" s="198"/>
      <c r="E61" s="198"/>
      <c r="F61" s="198"/>
      <c r="G61" s="199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9"/>
      <c r="AA61" s="198"/>
      <c r="AB61" s="198"/>
      <c r="AC61" s="198"/>
      <c r="AD61" s="198"/>
      <c r="AE61" s="198"/>
      <c r="AF61" s="198"/>
      <c r="AG61" s="198"/>
      <c r="AH61" s="198"/>
    </row>
    <row r="62" ht="18.75" customHeight="1">
      <c r="A62" s="198"/>
      <c r="B62" s="198"/>
      <c r="C62" s="198"/>
      <c r="D62" s="198"/>
      <c r="E62" s="198"/>
      <c r="F62" s="198"/>
      <c r="G62" s="199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9"/>
      <c r="AA62" s="198"/>
      <c r="AB62" s="198"/>
      <c r="AC62" s="198"/>
      <c r="AD62" s="198"/>
      <c r="AE62" s="198"/>
      <c r="AF62" s="198"/>
      <c r="AG62" s="198"/>
      <c r="AH62" s="198"/>
    </row>
    <row r="63" ht="18.75" customHeight="1">
      <c r="A63" s="198"/>
      <c r="B63" s="198"/>
      <c r="C63" s="198"/>
      <c r="D63" s="198"/>
      <c r="E63" s="198"/>
      <c r="F63" s="198"/>
      <c r="G63" s="199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9"/>
      <c r="AA63" s="198"/>
      <c r="AB63" s="198"/>
      <c r="AC63" s="198"/>
      <c r="AD63" s="198"/>
      <c r="AE63" s="198"/>
      <c r="AF63" s="198"/>
      <c r="AG63" s="198"/>
      <c r="AH63" s="198"/>
    </row>
    <row r="64" ht="18.75" customHeight="1">
      <c r="A64" s="198"/>
      <c r="B64" s="198"/>
      <c r="C64" s="198"/>
      <c r="D64" s="198"/>
      <c r="E64" s="198"/>
      <c r="F64" s="198"/>
      <c r="G64" s="199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9"/>
      <c r="AA64" s="198"/>
      <c r="AB64" s="198"/>
      <c r="AC64" s="198"/>
      <c r="AD64" s="198"/>
      <c r="AE64" s="198"/>
      <c r="AF64" s="198"/>
      <c r="AG64" s="198"/>
      <c r="AH64" s="198"/>
    </row>
    <row r="65" ht="18.75" customHeight="1">
      <c r="A65" s="198"/>
      <c r="B65" s="198"/>
      <c r="C65" s="198"/>
      <c r="D65" s="198"/>
      <c r="E65" s="198"/>
      <c r="F65" s="198"/>
      <c r="G65" s="199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9"/>
      <c r="AA65" s="198"/>
      <c r="AB65" s="198"/>
      <c r="AC65" s="198"/>
      <c r="AD65" s="198"/>
      <c r="AE65" s="198"/>
      <c r="AF65" s="198"/>
      <c r="AG65" s="198"/>
      <c r="AH65" s="198"/>
    </row>
    <row r="66" ht="18.75" customHeight="1">
      <c r="A66" s="198"/>
      <c r="B66" s="198"/>
      <c r="C66" s="198"/>
      <c r="D66" s="198"/>
      <c r="E66" s="198"/>
      <c r="F66" s="198"/>
      <c r="G66" s="199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9"/>
      <c r="AA66" s="198"/>
      <c r="AB66" s="198"/>
      <c r="AC66" s="198"/>
      <c r="AD66" s="198"/>
      <c r="AE66" s="198"/>
      <c r="AF66" s="198"/>
      <c r="AG66" s="198"/>
      <c r="AH66" s="198"/>
    </row>
    <row r="67" ht="18.75" customHeight="1">
      <c r="A67" s="198"/>
      <c r="B67" s="198"/>
      <c r="C67" s="198"/>
      <c r="D67" s="198"/>
      <c r="E67" s="198"/>
      <c r="F67" s="198"/>
      <c r="G67" s="199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9"/>
      <c r="AA67" s="198"/>
      <c r="AB67" s="198"/>
      <c r="AC67" s="198"/>
      <c r="AD67" s="198"/>
      <c r="AE67" s="198"/>
      <c r="AF67" s="198"/>
      <c r="AG67" s="198"/>
      <c r="AH67" s="198"/>
    </row>
    <row r="68" ht="18.75" customHeight="1">
      <c r="A68" s="198"/>
      <c r="B68" s="198"/>
      <c r="C68" s="198"/>
      <c r="D68" s="198"/>
      <c r="E68" s="198"/>
      <c r="F68" s="198"/>
      <c r="G68" s="199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9"/>
      <c r="AA68" s="198"/>
      <c r="AB68" s="198"/>
      <c r="AC68" s="198"/>
      <c r="AD68" s="198"/>
      <c r="AE68" s="198"/>
      <c r="AF68" s="198"/>
      <c r="AG68" s="198"/>
      <c r="AH68" s="198"/>
    </row>
    <row r="69" ht="18.75" customHeight="1">
      <c r="A69" s="198"/>
      <c r="B69" s="198"/>
      <c r="C69" s="198"/>
      <c r="D69" s="198"/>
      <c r="E69" s="198"/>
      <c r="F69" s="198"/>
      <c r="G69" s="199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9"/>
      <c r="AA69" s="198"/>
      <c r="AB69" s="198"/>
      <c r="AC69" s="198"/>
      <c r="AD69" s="198"/>
      <c r="AE69" s="198"/>
      <c r="AF69" s="198"/>
      <c r="AG69" s="198"/>
      <c r="AH69" s="198"/>
    </row>
    <row r="70" ht="15.75" customHeight="1">
      <c r="A70" s="198"/>
      <c r="B70" s="198"/>
      <c r="C70" s="198"/>
      <c r="D70" s="198"/>
      <c r="E70" s="198"/>
      <c r="F70" s="198"/>
      <c r="G70" s="199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9"/>
      <c r="AA70" s="198"/>
      <c r="AB70" s="198"/>
      <c r="AC70" s="198"/>
      <c r="AD70" s="198"/>
      <c r="AE70" s="198"/>
      <c r="AF70" s="198"/>
      <c r="AG70" s="198"/>
      <c r="AH70" s="198"/>
    </row>
    <row r="71" ht="15.75" customHeight="1">
      <c r="A71" s="198"/>
      <c r="B71" s="198"/>
      <c r="C71" s="198"/>
      <c r="D71" s="198"/>
      <c r="E71" s="198"/>
      <c r="F71" s="198"/>
      <c r="G71" s="199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9"/>
      <c r="AA71" s="198"/>
      <c r="AB71" s="198"/>
      <c r="AC71" s="198"/>
      <c r="AD71" s="198"/>
      <c r="AE71" s="198"/>
      <c r="AF71" s="198"/>
      <c r="AG71" s="198"/>
      <c r="AH71" s="198"/>
    </row>
    <row r="72" ht="15.75" customHeight="1">
      <c r="A72" s="198"/>
      <c r="B72" s="198"/>
      <c r="C72" s="198"/>
      <c r="D72" s="198"/>
      <c r="E72" s="198"/>
      <c r="F72" s="198"/>
      <c r="G72" s="199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9"/>
      <c r="AA72" s="198"/>
      <c r="AB72" s="198"/>
      <c r="AC72" s="198"/>
      <c r="AD72" s="198"/>
      <c r="AE72" s="198"/>
      <c r="AF72" s="198"/>
      <c r="AG72" s="198"/>
      <c r="AH72" s="198"/>
    </row>
    <row r="73" ht="74.25" customHeight="1">
      <c r="A73" s="198"/>
      <c r="B73" s="198"/>
      <c r="C73" s="198"/>
      <c r="D73" s="198"/>
      <c r="E73" s="198"/>
      <c r="F73" s="198"/>
      <c r="G73" s="199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9"/>
      <c r="AA73" s="198"/>
      <c r="AB73" s="198"/>
      <c r="AC73" s="198"/>
      <c r="AD73" s="198"/>
      <c r="AE73" s="198"/>
      <c r="AF73" s="198"/>
      <c r="AG73" s="198"/>
      <c r="AH73" s="198"/>
    </row>
    <row r="74" ht="15.75" customHeight="1">
      <c r="A74" s="198"/>
      <c r="B74" s="198"/>
      <c r="C74" s="198"/>
      <c r="D74" s="198"/>
      <c r="E74" s="198"/>
      <c r="F74" s="198"/>
      <c r="G74" s="199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9"/>
      <c r="AA74" s="198"/>
      <c r="AB74" s="198"/>
      <c r="AC74" s="198"/>
      <c r="AD74" s="198"/>
      <c r="AE74" s="198"/>
      <c r="AF74" s="198"/>
      <c r="AG74" s="198"/>
      <c r="AH74" s="198"/>
    </row>
    <row r="75" ht="15.75" customHeight="1">
      <c r="A75" s="198"/>
      <c r="B75" s="198"/>
      <c r="C75" s="198"/>
      <c r="D75" s="198"/>
      <c r="E75" s="198"/>
      <c r="F75" s="198"/>
      <c r="G75" s="199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9"/>
      <c r="AA75" s="198"/>
      <c r="AB75" s="198"/>
      <c r="AC75" s="198"/>
      <c r="AD75" s="198"/>
      <c r="AE75" s="198"/>
      <c r="AF75" s="198"/>
      <c r="AG75" s="198"/>
      <c r="AH75" s="198"/>
    </row>
    <row r="76" ht="15.75" customHeight="1">
      <c r="A76" s="198"/>
      <c r="B76" s="198"/>
      <c r="C76" s="198"/>
      <c r="D76" s="198"/>
      <c r="E76" s="198"/>
      <c r="F76" s="198"/>
      <c r="G76" s="199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9"/>
      <c r="AA76" s="198"/>
      <c r="AB76" s="198"/>
      <c r="AC76" s="198"/>
      <c r="AD76" s="198"/>
      <c r="AE76" s="198"/>
      <c r="AF76" s="198"/>
      <c r="AG76" s="198"/>
      <c r="AH76" s="198"/>
    </row>
    <row r="77" ht="15.75" customHeight="1">
      <c r="A77" s="198"/>
      <c r="B77" s="198"/>
      <c r="C77" s="198"/>
      <c r="D77" s="198"/>
      <c r="E77" s="198"/>
      <c r="F77" s="198"/>
      <c r="G77" s="199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9"/>
      <c r="AA77" s="198"/>
      <c r="AB77" s="198"/>
      <c r="AC77" s="198"/>
      <c r="AD77" s="198"/>
      <c r="AE77" s="198"/>
      <c r="AF77" s="198"/>
      <c r="AG77" s="198"/>
      <c r="AH77" s="198"/>
    </row>
    <row r="78" ht="15.75" customHeight="1">
      <c r="A78" s="198"/>
      <c r="B78" s="198"/>
      <c r="C78" s="198"/>
      <c r="D78" s="198"/>
      <c r="E78" s="198"/>
      <c r="F78" s="198"/>
      <c r="G78" s="199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9"/>
      <c r="AA78" s="198"/>
      <c r="AB78" s="198"/>
      <c r="AC78" s="198"/>
      <c r="AD78" s="198"/>
      <c r="AE78" s="198"/>
      <c r="AF78" s="198"/>
      <c r="AG78" s="198"/>
      <c r="AH78" s="198"/>
    </row>
    <row r="79" ht="15.75" customHeight="1">
      <c r="A79" s="198"/>
      <c r="B79" s="198"/>
      <c r="C79" s="198"/>
      <c r="D79" s="198"/>
      <c r="E79" s="198"/>
      <c r="F79" s="198"/>
      <c r="G79" s="199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9"/>
      <c r="AA79" s="198"/>
      <c r="AB79" s="198"/>
      <c r="AC79" s="198"/>
      <c r="AD79" s="198"/>
      <c r="AE79" s="198"/>
      <c r="AF79" s="198"/>
      <c r="AG79" s="198"/>
      <c r="AH79" s="198"/>
    </row>
    <row r="80" ht="15.75" customHeight="1">
      <c r="A80" s="198"/>
      <c r="B80" s="198"/>
      <c r="C80" s="198"/>
      <c r="D80" s="198"/>
      <c r="E80" s="198"/>
      <c r="F80" s="198"/>
      <c r="G80" s="199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9"/>
      <c r="AA80" s="198"/>
      <c r="AB80" s="198"/>
      <c r="AC80" s="198"/>
      <c r="AD80" s="198"/>
      <c r="AE80" s="198"/>
      <c r="AF80" s="198"/>
      <c r="AG80" s="198"/>
      <c r="AH80" s="198"/>
    </row>
    <row r="81" ht="15.75" customHeight="1">
      <c r="A81" s="198"/>
      <c r="B81" s="198"/>
      <c r="C81" s="198"/>
      <c r="D81" s="198"/>
      <c r="E81" s="198"/>
      <c r="F81" s="198"/>
      <c r="G81" s="199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9"/>
      <c r="AA81" s="198"/>
      <c r="AB81" s="198"/>
      <c r="AC81" s="198"/>
      <c r="AD81" s="198"/>
      <c r="AE81" s="198"/>
      <c r="AF81" s="198"/>
      <c r="AG81" s="198"/>
      <c r="AH81" s="198"/>
    </row>
    <row r="82" ht="15.75" customHeight="1">
      <c r="A82" s="198"/>
      <c r="B82" s="198"/>
      <c r="C82" s="198"/>
      <c r="D82" s="198"/>
      <c r="E82" s="198"/>
      <c r="F82" s="198"/>
      <c r="G82" s="199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9"/>
      <c r="AA82" s="198"/>
      <c r="AB82" s="198"/>
      <c r="AC82" s="198"/>
      <c r="AD82" s="198"/>
      <c r="AE82" s="198"/>
      <c r="AF82" s="198"/>
      <c r="AG82" s="198"/>
      <c r="AH82" s="198"/>
    </row>
    <row r="83" ht="15.75" customHeight="1">
      <c r="A83" s="198"/>
      <c r="B83" s="198"/>
      <c r="C83" s="198"/>
      <c r="D83" s="198"/>
      <c r="E83" s="198"/>
      <c r="F83" s="198"/>
      <c r="G83" s="199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9"/>
      <c r="AA83" s="198"/>
      <c r="AB83" s="198"/>
      <c r="AC83" s="198"/>
      <c r="AD83" s="198"/>
      <c r="AE83" s="198"/>
      <c r="AF83" s="198"/>
      <c r="AG83" s="198"/>
      <c r="AH83" s="198"/>
    </row>
    <row r="84" ht="15.75" customHeight="1">
      <c r="A84" s="198"/>
      <c r="B84" s="198"/>
      <c r="C84" s="198"/>
      <c r="D84" s="198"/>
      <c r="E84" s="198"/>
      <c r="F84" s="198"/>
      <c r="G84" s="199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9"/>
      <c r="AA84" s="198"/>
      <c r="AB84" s="198"/>
      <c r="AC84" s="198"/>
      <c r="AD84" s="198"/>
      <c r="AE84" s="198"/>
      <c r="AF84" s="198"/>
      <c r="AG84" s="198"/>
      <c r="AH84" s="198"/>
    </row>
    <row r="85" ht="15.75" customHeight="1">
      <c r="A85" s="198"/>
      <c r="B85" s="198"/>
      <c r="C85" s="198"/>
      <c r="D85" s="198"/>
      <c r="E85" s="198"/>
      <c r="F85" s="198"/>
      <c r="G85" s="199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9"/>
      <c r="AA85" s="198"/>
      <c r="AB85" s="198"/>
      <c r="AC85" s="198"/>
      <c r="AD85" s="198"/>
      <c r="AE85" s="198"/>
      <c r="AF85" s="198"/>
      <c r="AG85" s="198"/>
      <c r="AH85" s="198"/>
    </row>
    <row r="86" ht="15.75" customHeight="1">
      <c r="A86" s="198"/>
      <c r="B86" s="198"/>
      <c r="C86" s="198"/>
      <c r="D86" s="198"/>
      <c r="E86" s="198"/>
      <c r="F86" s="198"/>
      <c r="G86" s="199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9"/>
      <c r="AA86" s="198"/>
      <c r="AB86" s="198"/>
      <c r="AC86" s="198"/>
      <c r="AD86" s="198"/>
      <c r="AE86" s="198"/>
      <c r="AF86" s="198"/>
      <c r="AG86" s="198"/>
      <c r="AH86" s="198"/>
    </row>
    <row r="87" ht="15.75" customHeight="1">
      <c r="A87" s="198"/>
      <c r="B87" s="198"/>
      <c r="C87" s="198"/>
      <c r="D87" s="198"/>
      <c r="E87" s="198"/>
      <c r="F87" s="198"/>
      <c r="G87" s="199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9"/>
      <c r="AA87" s="198"/>
      <c r="AB87" s="198"/>
      <c r="AC87" s="198"/>
      <c r="AD87" s="198"/>
      <c r="AE87" s="198"/>
      <c r="AF87" s="198"/>
      <c r="AG87" s="198"/>
      <c r="AH87" s="198"/>
    </row>
    <row r="88" ht="15.75" customHeight="1">
      <c r="A88" s="198"/>
      <c r="B88" s="198"/>
      <c r="C88" s="198"/>
      <c r="D88" s="198"/>
      <c r="E88" s="198"/>
      <c r="F88" s="198"/>
      <c r="G88" s="199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9"/>
      <c r="AA88" s="198"/>
      <c r="AB88" s="198"/>
      <c r="AC88" s="198"/>
      <c r="AD88" s="198"/>
      <c r="AE88" s="198"/>
      <c r="AF88" s="198"/>
      <c r="AG88" s="198"/>
      <c r="AH88" s="198"/>
    </row>
    <row r="89" ht="15.75" customHeight="1">
      <c r="A89" s="198"/>
      <c r="B89" s="198"/>
      <c r="C89" s="198"/>
      <c r="D89" s="198"/>
      <c r="E89" s="198"/>
      <c r="F89" s="198"/>
      <c r="G89" s="199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9"/>
      <c r="AA89" s="198"/>
      <c r="AB89" s="198"/>
      <c r="AC89" s="198"/>
      <c r="AD89" s="198"/>
      <c r="AE89" s="198"/>
      <c r="AF89" s="198"/>
      <c r="AG89" s="198"/>
      <c r="AH89" s="198"/>
    </row>
    <row r="90" ht="15.75" customHeight="1">
      <c r="A90" s="198"/>
      <c r="B90" s="198"/>
      <c r="C90" s="198"/>
      <c r="D90" s="198"/>
      <c r="E90" s="198"/>
      <c r="F90" s="198"/>
      <c r="G90" s="199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9"/>
      <c r="AA90" s="198"/>
      <c r="AB90" s="198"/>
      <c r="AC90" s="198"/>
      <c r="AD90" s="198"/>
      <c r="AE90" s="198"/>
      <c r="AF90" s="198"/>
      <c r="AG90" s="198"/>
      <c r="AH90" s="198"/>
    </row>
    <row r="91" ht="15.75" customHeight="1">
      <c r="A91" s="198"/>
      <c r="B91" s="198"/>
      <c r="C91" s="198"/>
      <c r="D91" s="198"/>
      <c r="E91" s="198"/>
      <c r="F91" s="198"/>
      <c r="G91" s="199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9"/>
      <c r="AA91" s="198"/>
      <c r="AB91" s="198"/>
      <c r="AC91" s="198"/>
      <c r="AD91" s="198"/>
      <c r="AE91" s="198"/>
      <c r="AF91" s="198"/>
      <c r="AG91" s="198"/>
      <c r="AH91" s="198"/>
    </row>
    <row r="92" ht="15.75" customHeight="1">
      <c r="A92" s="198"/>
      <c r="B92" s="198"/>
      <c r="C92" s="198"/>
      <c r="D92" s="198"/>
      <c r="E92" s="198"/>
      <c r="F92" s="198"/>
      <c r="G92" s="199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9"/>
      <c r="AA92" s="198"/>
      <c r="AB92" s="198"/>
      <c r="AC92" s="198"/>
      <c r="AD92" s="198"/>
      <c r="AE92" s="198"/>
      <c r="AF92" s="198"/>
      <c r="AG92" s="198"/>
      <c r="AH92" s="198"/>
    </row>
    <row r="93" ht="15.75" customHeight="1">
      <c r="A93" s="198"/>
      <c r="B93" s="198"/>
      <c r="C93" s="198"/>
      <c r="D93" s="198"/>
      <c r="E93" s="198"/>
      <c r="F93" s="198"/>
      <c r="G93" s="199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9"/>
      <c r="AA93" s="198"/>
      <c r="AB93" s="198"/>
      <c r="AC93" s="198"/>
      <c r="AD93" s="198"/>
      <c r="AE93" s="198"/>
      <c r="AF93" s="198"/>
      <c r="AG93" s="198"/>
      <c r="AH93" s="198"/>
    </row>
    <row r="94" ht="15.75" customHeight="1">
      <c r="A94" s="198"/>
      <c r="B94" s="198"/>
      <c r="C94" s="198"/>
      <c r="D94" s="198"/>
      <c r="E94" s="198"/>
      <c r="F94" s="198"/>
      <c r="G94" s="199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9"/>
      <c r="AA94" s="198"/>
      <c r="AB94" s="198"/>
      <c r="AC94" s="198"/>
      <c r="AD94" s="198"/>
      <c r="AE94" s="198"/>
      <c r="AF94" s="198"/>
      <c r="AG94" s="198"/>
      <c r="AH94" s="198"/>
    </row>
    <row r="95" ht="15.75" customHeight="1">
      <c r="A95" s="198"/>
      <c r="B95" s="198"/>
      <c r="C95" s="198"/>
      <c r="D95" s="198"/>
      <c r="E95" s="198"/>
      <c r="F95" s="198"/>
      <c r="G95" s="199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9"/>
      <c r="AA95" s="198"/>
      <c r="AB95" s="198"/>
      <c r="AC95" s="198"/>
      <c r="AD95" s="198"/>
      <c r="AE95" s="198"/>
      <c r="AF95" s="198"/>
      <c r="AG95" s="198"/>
      <c r="AH95" s="198"/>
    </row>
    <row r="96" ht="15.75" customHeight="1">
      <c r="A96" s="198"/>
      <c r="B96" s="198"/>
      <c r="C96" s="198"/>
      <c r="D96" s="198"/>
      <c r="E96" s="198"/>
      <c r="F96" s="198"/>
      <c r="G96" s="199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9"/>
      <c r="AA96" s="198"/>
      <c r="AB96" s="198"/>
      <c r="AC96" s="198"/>
      <c r="AD96" s="198"/>
      <c r="AE96" s="198"/>
      <c r="AF96" s="198"/>
      <c r="AG96" s="198"/>
      <c r="AH96" s="198"/>
    </row>
    <row r="97" ht="15.75" customHeight="1">
      <c r="A97" s="198"/>
      <c r="B97" s="198"/>
      <c r="C97" s="198"/>
      <c r="D97" s="198"/>
      <c r="E97" s="198"/>
      <c r="F97" s="198"/>
      <c r="G97" s="199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9"/>
      <c r="AA97" s="198"/>
      <c r="AB97" s="198"/>
      <c r="AC97" s="198"/>
      <c r="AD97" s="198"/>
      <c r="AE97" s="198"/>
      <c r="AF97" s="198"/>
      <c r="AG97" s="198"/>
      <c r="AH97" s="198"/>
    </row>
    <row r="98" ht="15.75" customHeight="1">
      <c r="A98" s="198"/>
      <c r="B98" s="198"/>
      <c r="C98" s="198"/>
      <c r="D98" s="198"/>
      <c r="E98" s="198"/>
      <c r="F98" s="198"/>
      <c r="G98" s="199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9"/>
      <c r="AA98" s="198"/>
      <c r="AB98" s="198"/>
      <c r="AC98" s="198"/>
      <c r="AD98" s="198"/>
      <c r="AE98" s="198"/>
      <c r="AF98" s="198"/>
      <c r="AG98" s="198"/>
      <c r="AH98" s="198"/>
    </row>
    <row r="99" ht="15.75" customHeight="1">
      <c r="A99" s="198"/>
      <c r="B99" s="198"/>
      <c r="C99" s="198"/>
      <c r="D99" s="198"/>
      <c r="E99" s="198"/>
      <c r="F99" s="198"/>
      <c r="G99" s="199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9"/>
      <c r="AA99" s="198"/>
      <c r="AB99" s="198"/>
      <c r="AC99" s="198"/>
      <c r="AD99" s="198"/>
      <c r="AE99" s="198"/>
      <c r="AF99" s="198"/>
      <c r="AG99" s="198"/>
      <c r="AH99" s="198"/>
    </row>
    <row r="100" ht="15.75" customHeight="1">
      <c r="A100" s="198"/>
      <c r="B100" s="198"/>
      <c r="C100" s="198"/>
      <c r="D100" s="198"/>
      <c r="E100" s="198"/>
      <c r="F100" s="198"/>
      <c r="G100" s="199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9"/>
      <c r="AA100" s="198"/>
      <c r="AB100" s="198"/>
      <c r="AC100" s="198"/>
      <c r="AD100" s="198"/>
      <c r="AE100" s="198"/>
      <c r="AF100" s="198"/>
      <c r="AG100" s="198"/>
      <c r="AH100" s="198"/>
    </row>
    <row r="101" ht="15.75" customHeight="1">
      <c r="A101" s="198"/>
      <c r="B101" s="198"/>
      <c r="C101" s="198"/>
      <c r="D101" s="198"/>
      <c r="E101" s="198"/>
      <c r="F101" s="198"/>
      <c r="G101" s="199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9"/>
      <c r="AA101" s="198"/>
      <c r="AB101" s="198"/>
      <c r="AC101" s="198"/>
      <c r="AD101" s="198"/>
      <c r="AE101" s="198"/>
      <c r="AF101" s="198"/>
      <c r="AG101" s="198"/>
      <c r="AH101" s="198"/>
    </row>
    <row r="102" ht="15.75" customHeight="1">
      <c r="A102" s="198"/>
      <c r="B102" s="198"/>
      <c r="C102" s="198"/>
      <c r="D102" s="198"/>
      <c r="E102" s="198"/>
      <c r="F102" s="198"/>
      <c r="G102" s="199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9"/>
      <c r="AA102" s="198"/>
      <c r="AB102" s="198"/>
      <c r="AC102" s="198"/>
      <c r="AD102" s="198"/>
      <c r="AE102" s="198"/>
      <c r="AF102" s="198"/>
      <c r="AG102" s="198"/>
      <c r="AH102" s="198"/>
    </row>
    <row r="103" ht="15.75" customHeight="1">
      <c r="A103" s="198"/>
      <c r="B103" s="198"/>
      <c r="C103" s="198"/>
      <c r="D103" s="198"/>
      <c r="E103" s="198"/>
      <c r="F103" s="198"/>
      <c r="G103" s="199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9"/>
      <c r="AA103" s="198"/>
      <c r="AB103" s="198"/>
      <c r="AC103" s="198"/>
      <c r="AD103" s="198"/>
      <c r="AE103" s="198"/>
      <c r="AF103" s="198"/>
      <c r="AG103" s="198"/>
      <c r="AH103" s="198"/>
    </row>
    <row r="104" ht="15.75" customHeight="1">
      <c r="A104" s="198"/>
      <c r="B104" s="198"/>
      <c r="C104" s="198"/>
      <c r="D104" s="198"/>
      <c r="E104" s="198"/>
      <c r="F104" s="198"/>
      <c r="G104" s="199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9"/>
      <c r="AA104" s="198"/>
      <c r="AB104" s="198"/>
      <c r="AC104" s="198"/>
      <c r="AD104" s="198"/>
      <c r="AE104" s="198"/>
      <c r="AF104" s="198"/>
      <c r="AG104" s="198"/>
      <c r="AH104" s="198"/>
    </row>
    <row r="105" ht="15.75" customHeight="1">
      <c r="A105" s="198"/>
      <c r="B105" s="198"/>
      <c r="C105" s="198"/>
      <c r="D105" s="198"/>
      <c r="E105" s="198"/>
      <c r="F105" s="198"/>
      <c r="G105" s="199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9"/>
      <c r="AA105" s="198"/>
      <c r="AB105" s="198"/>
      <c r="AC105" s="198"/>
      <c r="AD105" s="198"/>
      <c r="AE105" s="198"/>
      <c r="AF105" s="198"/>
      <c r="AG105" s="198"/>
      <c r="AH105" s="198"/>
    </row>
    <row r="106" ht="15.75" customHeight="1">
      <c r="A106" s="198"/>
      <c r="B106" s="198"/>
      <c r="C106" s="198"/>
      <c r="D106" s="198"/>
      <c r="E106" s="198"/>
      <c r="F106" s="198"/>
      <c r="G106" s="199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9"/>
      <c r="AA106" s="198"/>
      <c r="AB106" s="198"/>
      <c r="AC106" s="198"/>
      <c r="AD106" s="198"/>
      <c r="AE106" s="198"/>
      <c r="AF106" s="198"/>
      <c r="AG106" s="198"/>
      <c r="AH106" s="198"/>
    </row>
    <row r="107" ht="15.75" customHeight="1">
      <c r="A107" s="198"/>
      <c r="B107" s="198"/>
      <c r="C107" s="198"/>
      <c r="D107" s="198"/>
      <c r="E107" s="198"/>
      <c r="F107" s="198"/>
      <c r="G107" s="199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9"/>
      <c r="AA107" s="198"/>
      <c r="AB107" s="198"/>
      <c r="AC107" s="198"/>
      <c r="AD107" s="198"/>
      <c r="AE107" s="198"/>
      <c r="AF107" s="198"/>
      <c r="AG107" s="198"/>
      <c r="AH107" s="198"/>
    </row>
    <row r="108" ht="15.75" customHeight="1">
      <c r="A108" s="198"/>
      <c r="B108" s="198"/>
      <c r="C108" s="198"/>
      <c r="D108" s="198"/>
      <c r="E108" s="198"/>
      <c r="F108" s="198"/>
      <c r="G108" s="199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9"/>
      <c r="AA108" s="198"/>
      <c r="AB108" s="198"/>
      <c r="AC108" s="198"/>
      <c r="AD108" s="198"/>
      <c r="AE108" s="198"/>
      <c r="AF108" s="198"/>
      <c r="AG108" s="198"/>
      <c r="AH108" s="198"/>
    </row>
    <row r="109" ht="15.75" customHeight="1">
      <c r="A109" s="198"/>
      <c r="B109" s="198"/>
      <c r="C109" s="198"/>
      <c r="D109" s="198"/>
      <c r="E109" s="198"/>
      <c r="F109" s="198"/>
      <c r="G109" s="199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9"/>
      <c r="AA109" s="198"/>
      <c r="AB109" s="198"/>
      <c r="AC109" s="198"/>
      <c r="AD109" s="198"/>
      <c r="AE109" s="198"/>
      <c r="AF109" s="198"/>
      <c r="AG109" s="198"/>
      <c r="AH109" s="198"/>
    </row>
    <row r="110" ht="15.75" customHeight="1">
      <c r="A110" s="198"/>
      <c r="B110" s="198"/>
      <c r="C110" s="198"/>
      <c r="D110" s="198"/>
      <c r="E110" s="198"/>
      <c r="F110" s="198"/>
      <c r="G110" s="199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9"/>
      <c r="AA110" s="198"/>
      <c r="AB110" s="198"/>
      <c r="AC110" s="198"/>
      <c r="AD110" s="198"/>
      <c r="AE110" s="198"/>
      <c r="AF110" s="198"/>
      <c r="AG110" s="198"/>
      <c r="AH110" s="198"/>
    </row>
    <row r="111" ht="15.75" customHeight="1">
      <c r="A111" s="198"/>
      <c r="B111" s="198"/>
      <c r="C111" s="198"/>
      <c r="D111" s="198"/>
      <c r="E111" s="198"/>
      <c r="F111" s="198"/>
      <c r="G111" s="199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9"/>
      <c r="AA111" s="198"/>
      <c r="AB111" s="198"/>
      <c r="AC111" s="198"/>
      <c r="AD111" s="198"/>
      <c r="AE111" s="198"/>
      <c r="AF111" s="198"/>
      <c r="AG111" s="198"/>
      <c r="AH111" s="198"/>
    </row>
    <row r="112" ht="15.75" customHeight="1">
      <c r="A112" s="198"/>
      <c r="B112" s="198"/>
      <c r="C112" s="198"/>
      <c r="D112" s="198"/>
      <c r="E112" s="198"/>
      <c r="F112" s="198"/>
      <c r="G112" s="199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9"/>
      <c r="AA112" s="198"/>
      <c r="AB112" s="198"/>
      <c r="AC112" s="198"/>
      <c r="AD112" s="198"/>
      <c r="AE112" s="198"/>
      <c r="AF112" s="198"/>
      <c r="AG112" s="198"/>
      <c r="AH112" s="198"/>
    </row>
    <row r="113" ht="15.75" customHeight="1">
      <c r="A113" s="198"/>
      <c r="B113" s="198"/>
      <c r="C113" s="198"/>
      <c r="D113" s="198"/>
      <c r="E113" s="198"/>
      <c r="F113" s="198"/>
      <c r="G113" s="199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9"/>
      <c r="AA113" s="198"/>
      <c r="AB113" s="198"/>
      <c r="AC113" s="198"/>
      <c r="AD113" s="198"/>
      <c r="AE113" s="198"/>
      <c r="AF113" s="198"/>
      <c r="AG113" s="198"/>
      <c r="AH113" s="198"/>
    </row>
    <row r="114" ht="15.75" customHeight="1">
      <c r="A114" s="198"/>
      <c r="B114" s="198"/>
      <c r="C114" s="198"/>
      <c r="D114" s="198"/>
      <c r="E114" s="198"/>
      <c r="F114" s="198"/>
      <c r="G114" s="199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9"/>
      <c r="AA114" s="198"/>
      <c r="AB114" s="198"/>
      <c r="AC114" s="198"/>
      <c r="AD114" s="198"/>
      <c r="AE114" s="198"/>
      <c r="AF114" s="198"/>
      <c r="AG114" s="198"/>
      <c r="AH114" s="198"/>
    </row>
    <row r="115" ht="15.75" customHeight="1">
      <c r="A115" s="198"/>
      <c r="B115" s="198"/>
      <c r="C115" s="198"/>
      <c r="D115" s="198"/>
      <c r="E115" s="198"/>
      <c r="F115" s="198"/>
      <c r="G115" s="199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9"/>
      <c r="AA115" s="198"/>
      <c r="AB115" s="198"/>
      <c r="AC115" s="198"/>
      <c r="AD115" s="198"/>
      <c r="AE115" s="198"/>
      <c r="AF115" s="198"/>
      <c r="AG115" s="198"/>
      <c r="AH115" s="198"/>
    </row>
    <row r="116" ht="15.75" customHeight="1">
      <c r="A116" s="198"/>
      <c r="B116" s="198"/>
      <c r="C116" s="198"/>
      <c r="D116" s="198"/>
      <c r="E116" s="198"/>
      <c r="F116" s="198"/>
      <c r="G116" s="199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9"/>
      <c r="AA116" s="198"/>
      <c r="AB116" s="198"/>
      <c r="AC116" s="198"/>
      <c r="AD116" s="198"/>
      <c r="AE116" s="198"/>
      <c r="AF116" s="198"/>
      <c r="AG116" s="198"/>
      <c r="AH116" s="198"/>
    </row>
    <row r="117" ht="15.75" customHeight="1">
      <c r="A117" s="198"/>
      <c r="B117" s="198"/>
      <c r="C117" s="198"/>
      <c r="D117" s="198"/>
      <c r="E117" s="198"/>
      <c r="F117" s="198"/>
      <c r="G117" s="199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9"/>
      <c r="AA117" s="198"/>
      <c r="AB117" s="198"/>
      <c r="AC117" s="198"/>
      <c r="AD117" s="198"/>
      <c r="AE117" s="198"/>
      <c r="AF117" s="198"/>
      <c r="AG117" s="198"/>
      <c r="AH117" s="198"/>
    </row>
    <row r="118" ht="15.75" customHeight="1">
      <c r="A118" s="198"/>
      <c r="B118" s="198"/>
      <c r="C118" s="198"/>
      <c r="D118" s="198"/>
      <c r="E118" s="198"/>
      <c r="F118" s="198"/>
      <c r="G118" s="199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9"/>
      <c r="AA118" s="198"/>
      <c r="AB118" s="198"/>
      <c r="AC118" s="198"/>
      <c r="AD118" s="198"/>
      <c r="AE118" s="198"/>
      <c r="AF118" s="198"/>
      <c r="AG118" s="198"/>
      <c r="AH118" s="198"/>
    </row>
    <row r="119" ht="15.75" customHeight="1">
      <c r="A119" s="198"/>
      <c r="B119" s="198"/>
      <c r="C119" s="198"/>
      <c r="D119" s="198"/>
      <c r="E119" s="198"/>
      <c r="F119" s="198"/>
      <c r="G119" s="199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9"/>
      <c r="AA119" s="198"/>
      <c r="AB119" s="198"/>
      <c r="AC119" s="198"/>
      <c r="AD119" s="198"/>
      <c r="AE119" s="198"/>
      <c r="AF119" s="198"/>
      <c r="AG119" s="198"/>
      <c r="AH119" s="198"/>
    </row>
    <row r="120" ht="15.75" customHeight="1">
      <c r="A120" s="198"/>
      <c r="B120" s="198"/>
      <c r="C120" s="198"/>
      <c r="D120" s="198"/>
      <c r="E120" s="198"/>
      <c r="F120" s="198"/>
      <c r="G120" s="199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9"/>
      <c r="AA120" s="198"/>
      <c r="AB120" s="198"/>
      <c r="AC120" s="198"/>
      <c r="AD120" s="198"/>
      <c r="AE120" s="198"/>
      <c r="AF120" s="198"/>
      <c r="AG120" s="198"/>
      <c r="AH120" s="198"/>
    </row>
    <row r="121" ht="15.75" customHeight="1">
      <c r="A121" s="198"/>
      <c r="B121" s="198"/>
      <c r="C121" s="198"/>
      <c r="D121" s="198"/>
      <c r="E121" s="198"/>
      <c r="F121" s="198"/>
      <c r="G121" s="199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9"/>
      <c r="AA121" s="198"/>
      <c r="AB121" s="198"/>
      <c r="AC121" s="198"/>
      <c r="AD121" s="198"/>
      <c r="AE121" s="198"/>
      <c r="AF121" s="198"/>
      <c r="AG121" s="198"/>
      <c r="AH121" s="198"/>
    </row>
    <row r="122" ht="15.75" customHeight="1">
      <c r="A122" s="198"/>
      <c r="B122" s="198"/>
      <c r="C122" s="198"/>
      <c r="D122" s="198"/>
      <c r="E122" s="198"/>
      <c r="F122" s="198"/>
      <c r="G122" s="199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9"/>
      <c r="AA122" s="198"/>
      <c r="AB122" s="198"/>
      <c r="AC122" s="198"/>
      <c r="AD122" s="198"/>
      <c r="AE122" s="198"/>
      <c r="AF122" s="198"/>
      <c r="AG122" s="198"/>
      <c r="AH122" s="198"/>
    </row>
    <row r="123" ht="15.75" customHeight="1">
      <c r="A123" s="198"/>
      <c r="B123" s="198"/>
      <c r="C123" s="198"/>
      <c r="D123" s="198"/>
      <c r="E123" s="198"/>
      <c r="F123" s="198"/>
      <c r="G123" s="199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9"/>
      <c r="AA123" s="198"/>
      <c r="AB123" s="198"/>
      <c r="AC123" s="198"/>
      <c r="AD123" s="198"/>
      <c r="AE123" s="198"/>
      <c r="AF123" s="198"/>
      <c r="AG123" s="198"/>
      <c r="AH123" s="198"/>
    </row>
    <row r="124" ht="15.75" customHeight="1">
      <c r="A124" s="198"/>
      <c r="B124" s="198"/>
      <c r="C124" s="198"/>
      <c r="D124" s="198"/>
      <c r="E124" s="198"/>
      <c r="F124" s="198"/>
      <c r="G124" s="199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9"/>
      <c r="AA124" s="198"/>
      <c r="AB124" s="198"/>
      <c r="AC124" s="198"/>
      <c r="AD124" s="198"/>
      <c r="AE124" s="198"/>
      <c r="AF124" s="198"/>
      <c r="AG124" s="198"/>
      <c r="AH124" s="198"/>
    </row>
    <row r="125" ht="15.75" customHeight="1">
      <c r="A125" s="198"/>
      <c r="B125" s="198"/>
      <c r="C125" s="198"/>
      <c r="D125" s="198"/>
      <c r="E125" s="198"/>
      <c r="F125" s="198"/>
      <c r="G125" s="199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9"/>
      <c r="AA125" s="198"/>
      <c r="AB125" s="198"/>
      <c r="AC125" s="198"/>
      <c r="AD125" s="198"/>
      <c r="AE125" s="198"/>
      <c r="AF125" s="198"/>
      <c r="AG125" s="198"/>
      <c r="AH125" s="198"/>
    </row>
    <row r="126" ht="15.75" customHeight="1">
      <c r="A126" s="198"/>
      <c r="B126" s="198"/>
      <c r="C126" s="198"/>
      <c r="D126" s="198"/>
      <c r="E126" s="198"/>
      <c r="F126" s="198"/>
      <c r="G126" s="199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9"/>
      <c r="AA126" s="198"/>
      <c r="AB126" s="198"/>
      <c r="AC126" s="198"/>
      <c r="AD126" s="198"/>
      <c r="AE126" s="198"/>
      <c r="AF126" s="198"/>
      <c r="AG126" s="198"/>
      <c r="AH126" s="198"/>
    </row>
    <row r="127" ht="15.75" customHeight="1">
      <c r="A127" s="198"/>
      <c r="B127" s="198"/>
      <c r="C127" s="198"/>
      <c r="D127" s="198"/>
      <c r="E127" s="198"/>
      <c r="F127" s="198"/>
      <c r="G127" s="199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9"/>
      <c r="AA127" s="198"/>
      <c r="AB127" s="198"/>
      <c r="AC127" s="198"/>
      <c r="AD127" s="198"/>
      <c r="AE127" s="198"/>
      <c r="AF127" s="198"/>
      <c r="AG127" s="198"/>
      <c r="AH127" s="198"/>
    </row>
    <row r="128" ht="15.75" customHeight="1">
      <c r="A128" s="198"/>
      <c r="B128" s="198"/>
      <c r="C128" s="198"/>
      <c r="D128" s="198"/>
      <c r="E128" s="198"/>
      <c r="F128" s="198"/>
      <c r="G128" s="199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9"/>
      <c r="AA128" s="198"/>
      <c r="AB128" s="198"/>
      <c r="AC128" s="198"/>
      <c r="AD128" s="198"/>
      <c r="AE128" s="198"/>
      <c r="AF128" s="198"/>
      <c r="AG128" s="198"/>
      <c r="AH128" s="198"/>
    </row>
    <row r="129" ht="15.75" customHeight="1">
      <c r="A129" s="198"/>
      <c r="B129" s="198"/>
      <c r="C129" s="198"/>
      <c r="D129" s="198"/>
      <c r="E129" s="198"/>
      <c r="F129" s="198"/>
      <c r="G129" s="199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9"/>
      <c r="AA129" s="198"/>
      <c r="AB129" s="198"/>
      <c r="AC129" s="198"/>
      <c r="AD129" s="198"/>
      <c r="AE129" s="198"/>
      <c r="AF129" s="198"/>
      <c r="AG129" s="198"/>
      <c r="AH129" s="198"/>
    </row>
    <row r="130" ht="15.75" customHeight="1">
      <c r="A130" s="198"/>
      <c r="B130" s="198"/>
      <c r="C130" s="198"/>
      <c r="D130" s="198"/>
      <c r="E130" s="198"/>
      <c r="F130" s="198"/>
      <c r="G130" s="199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9"/>
      <c r="AA130" s="198"/>
      <c r="AB130" s="198"/>
      <c r="AC130" s="198"/>
      <c r="AD130" s="198"/>
      <c r="AE130" s="198"/>
      <c r="AF130" s="198"/>
      <c r="AG130" s="198"/>
      <c r="AH130" s="198"/>
    </row>
    <row r="131" ht="15.75" customHeight="1">
      <c r="A131" s="198"/>
      <c r="B131" s="198"/>
      <c r="C131" s="198"/>
      <c r="D131" s="198"/>
      <c r="E131" s="198"/>
      <c r="F131" s="198"/>
      <c r="G131" s="199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9"/>
      <c r="AA131" s="198"/>
      <c r="AB131" s="198"/>
      <c r="AC131" s="198"/>
      <c r="AD131" s="198"/>
      <c r="AE131" s="198"/>
      <c r="AF131" s="198"/>
      <c r="AG131" s="198"/>
      <c r="AH131" s="198"/>
    </row>
    <row r="132" ht="15.75" customHeight="1">
      <c r="A132" s="198"/>
      <c r="B132" s="198"/>
      <c r="C132" s="198"/>
      <c r="D132" s="198"/>
      <c r="E132" s="198"/>
      <c r="F132" s="198"/>
      <c r="G132" s="199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9"/>
      <c r="AA132" s="198"/>
      <c r="AB132" s="198"/>
      <c r="AC132" s="198"/>
      <c r="AD132" s="198"/>
      <c r="AE132" s="198"/>
      <c r="AF132" s="198"/>
      <c r="AG132" s="198"/>
      <c r="AH132" s="198"/>
    </row>
    <row r="133" ht="15.75" customHeight="1">
      <c r="A133" s="198"/>
      <c r="B133" s="198"/>
      <c r="C133" s="198"/>
      <c r="D133" s="198"/>
      <c r="E133" s="198"/>
      <c r="F133" s="198"/>
      <c r="G133" s="199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9"/>
      <c r="AA133" s="198"/>
      <c r="AB133" s="198"/>
      <c r="AC133" s="198"/>
      <c r="AD133" s="198"/>
      <c r="AE133" s="198"/>
      <c r="AF133" s="198"/>
      <c r="AG133" s="198"/>
      <c r="AH133" s="198"/>
    </row>
    <row r="134" ht="15.75" customHeight="1">
      <c r="A134" s="198"/>
      <c r="B134" s="198"/>
      <c r="C134" s="198"/>
      <c r="D134" s="198"/>
      <c r="E134" s="198"/>
      <c r="F134" s="198"/>
      <c r="G134" s="199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9"/>
      <c r="AA134" s="198"/>
      <c r="AB134" s="198"/>
      <c r="AC134" s="198"/>
      <c r="AD134" s="198"/>
      <c r="AE134" s="198"/>
      <c r="AF134" s="198"/>
      <c r="AG134" s="198"/>
      <c r="AH134" s="198"/>
    </row>
    <row r="135" ht="15.75" customHeight="1">
      <c r="A135" s="198"/>
      <c r="B135" s="198"/>
      <c r="C135" s="198"/>
      <c r="D135" s="198"/>
      <c r="E135" s="198"/>
      <c r="F135" s="198"/>
      <c r="G135" s="199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9"/>
      <c r="AA135" s="198"/>
      <c r="AB135" s="198"/>
      <c r="AC135" s="198"/>
      <c r="AD135" s="198"/>
      <c r="AE135" s="198"/>
      <c r="AF135" s="198"/>
      <c r="AG135" s="198"/>
      <c r="AH135" s="198"/>
    </row>
    <row r="136" ht="15.75" customHeight="1">
      <c r="A136" s="198"/>
      <c r="B136" s="198"/>
      <c r="C136" s="198"/>
      <c r="D136" s="198"/>
      <c r="E136" s="198"/>
      <c r="F136" s="198"/>
      <c r="G136" s="199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9"/>
      <c r="AA136" s="198"/>
      <c r="AB136" s="198"/>
      <c r="AC136" s="198"/>
      <c r="AD136" s="198"/>
      <c r="AE136" s="198"/>
      <c r="AF136" s="198"/>
      <c r="AG136" s="198"/>
      <c r="AH136" s="198"/>
    </row>
    <row r="137" ht="15.75" customHeight="1">
      <c r="A137" s="198"/>
      <c r="B137" s="198"/>
      <c r="C137" s="198"/>
      <c r="D137" s="198"/>
      <c r="E137" s="198"/>
      <c r="F137" s="198"/>
      <c r="G137" s="199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9"/>
      <c r="AA137" s="198"/>
      <c r="AB137" s="198"/>
      <c r="AC137" s="198"/>
      <c r="AD137" s="198"/>
      <c r="AE137" s="198"/>
      <c r="AF137" s="198"/>
      <c r="AG137" s="198"/>
      <c r="AH137" s="198"/>
    </row>
    <row r="138" ht="15.75" customHeight="1">
      <c r="A138" s="198"/>
      <c r="B138" s="198"/>
      <c r="C138" s="198"/>
      <c r="D138" s="198"/>
      <c r="E138" s="198"/>
      <c r="F138" s="198"/>
      <c r="G138" s="199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9"/>
      <c r="AA138" s="198"/>
      <c r="AB138" s="198"/>
      <c r="AC138" s="198"/>
      <c r="AD138" s="198"/>
      <c r="AE138" s="198"/>
      <c r="AF138" s="198"/>
      <c r="AG138" s="198"/>
      <c r="AH138" s="198"/>
    </row>
    <row r="139" ht="15.75" customHeight="1">
      <c r="A139" s="198"/>
      <c r="B139" s="198"/>
      <c r="C139" s="198"/>
      <c r="D139" s="198"/>
      <c r="E139" s="198"/>
      <c r="F139" s="198"/>
      <c r="G139" s="199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9"/>
      <c r="AA139" s="198"/>
      <c r="AB139" s="198"/>
      <c r="AC139" s="198"/>
      <c r="AD139" s="198"/>
      <c r="AE139" s="198"/>
      <c r="AF139" s="198"/>
      <c r="AG139" s="198"/>
      <c r="AH139" s="198"/>
    </row>
    <row r="140" ht="15.75" customHeight="1">
      <c r="A140" s="198"/>
      <c r="B140" s="198"/>
      <c r="C140" s="198"/>
      <c r="D140" s="198"/>
      <c r="E140" s="198"/>
      <c r="F140" s="198"/>
      <c r="G140" s="199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9"/>
      <c r="AA140" s="198"/>
      <c r="AB140" s="198"/>
      <c r="AC140" s="198"/>
      <c r="AD140" s="198"/>
      <c r="AE140" s="198"/>
      <c r="AF140" s="198"/>
      <c r="AG140" s="198"/>
      <c r="AH140" s="198"/>
    </row>
    <row r="141" ht="15.75" customHeight="1">
      <c r="A141" s="198"/>
      <c r="B141" s="198"/>
      <c r="C141" s="198"/>
      <c r="D141" s="198"/>
      <c r="E141" s="198"/>
      <c r="F141" s="198"/>
      <c r="G141" s="199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9"/>
      <c r="AA141" s="198"/>
      <c r="AB141" s="198"/>
      <c r="AC141" s="198"/>
      <c r="AD141" s="198"/>
      <c r="AE141" s="198"/>
      <c r="AF141" s="198"/>
      <c r="AG141" s="198"/>
      <c r="AH141" s="198"/>
    </row>
    <row r="142" ht="15.75" customHeight="1">
      <c r="A142" s="198"/>
      <c r="B142" s="198"/>
      <c r="C142" s="198"/>
      <c r="D142" s="198"/>
      <c r="E142" s="198"/>
      <c r="F142" s="198"/>
      <c r="G142" s="199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9"/>
      <c r="AA142" s="198"/>
      <c r="AB142" s="198"/>
      <c r="AC142" s="198"/>
      <c r="AD142" s="198"/>
      <c r="AE142" s="198"/>
      <c r="AF142" s="198"/>
      <c r="AG142" s="198"/>
      <c r="AH142" s="198"/>
    </row>
    <row r="143" ht="15.75" customHeight="1">
      <c r="A143" s="198"/>
      <c r="B143" s="198"/>
      <c r="C143" s="198"/>
      <c r="D143" s="198"/>
      <c r="E143" s="198"/>
      <c r="F143" s="198"/>
      <c r="G143" s="199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9"/>
      <c r="AA143" s="198"/>
      <c r="AB143" s="198"/>
      <c r="AC143" s="198"/>
      <c r="AD143" s="198"/>
      <c r="AE143" s="198"/>
      <c r="AF143" s="198"/>
      <c r="AG143" s="198"/>
      <c r="AH143" s="198"/>
    </row>
    <row r="144" ht="15.75" customHeight="1">
      <c r="A144" s="198"/>
      <c r="B144" s="198"/>
      <c r="C144" s="198"/>
      <c r="D144" s="198"/>
      <c r="E144" s="198"/>
      <c r="F144" s="198"/>
      <c r="G144" s="199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9"/>
      <c r="AA144" s="198"/>
      <c r="AB144" s="198"/>
      <c r="AC144" s="198"/>
      <c r="AD144" s="198"/>
      <c r="AE144" s="198"/>
      <c r="AF144" s="198"/>
      <c r="AG144" s="198"/>
      <c r="AH144" s="198"/>
    </row>
    <row r="145" ht="15.75" customHeight="1">
      <c r="A145" s="198"/>
      <c r="B145" s="198"/>
      <c r="C145" s="198"/>
      <c r="D145" s="198"/>
      <c r="E145" s="198"/>
      <c r="F145" s="198"/>
      <c r="G145" s="199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9"/>
      <c r="AA145" s="198"/>
      <c r="AB145" s="198"/>
      <c r="AC145" s="198"/>
      <c r="AD145" s="198"/>
      <c r="AE145" s="198"/>
      <c r="AF145" s="198"/>
      <c r="AG145" s="198"/>
      <c r="AH145" s="198"/>
    </row>
    <row r="146" ht="15.75" customHeight="1">
      <c r="A146" s="198"/>
      <c r="B146" s="198"/>
      <c r="C146" s="198"/>
      <c r="D146" s="198"/>
      <c r="E146" s="198"/>
      <c r="F146" s="198"/>
      <c r="G146" s="199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9"/>
      <c r="AA146" s="198"/>
      <c r="AB146" s="198"/>
      <c r="AC146" s="198"/>
      <c r="AD146" s="198"/>
      <c r="AE146" s="198"/>
      <c r="AF146" s="198"/>
      <c r="AG146" s="198"/>
      <c r="AH146" s="198"/>
    </row>
    <row r="147" ht="15.75" customHeight="1">
      <c r="A147" s="198"/>
      <c r="B147" s="198"/>
      <c r="C147" s="198"/>
      <c r="D147" s="198"/>
      <c r="E147" s="198"/>
      <c r="F147" s="198"/>
      <c r="G147" s="199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9"/>
      <c r="AA147" s="198"/>
      <c r="AB147" s="198"/>
      <c r="AC147" s="198"/>
      <c r="AD147" s="198"/>
      <c r="AE147" s="198"/>
      <c r="AF147" s="198"/>
      <c r="AG147" s="198"/>
      <c r="AH147" s="198"/>
    </row>
    <row r="148" ht="15.75" customHeight="1">
      <c r="A148" s="198"/>
      <c r="B148" s="198"/>
      <c r="C148" s="198"/>
      <c r="D148" s="198"/>
      <c r="E148" s="198"/>
      <c r="F148" s="198"/>
      <c r="G148" s="199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9"/>
      <c r="AA148" s="198"/>
      <c r="AB148" s="198"/>
      <c r="AC148" s="198"/>
      <c r="AD148" s="198"/>
      <c r="AE148" s="198"/>
      <c r="AF148" s="198"/>
      <c r="AG148" s="198"/>
      <c r="AH148" s="198"/>
    </row>
    <row r="149" ht="15.75" customHeight="1">
      <c r="A149" s="198"/>
      <c r="B149" s="198"/>
      <c r="C149" s="198"/>
      <c r="D149" s="198"/>
      <c r="E149" s="198"/>
      <c r="F149" s="198"/>
      <c r="G149" s="199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9"/>
      <c r="AA149" s="198"/>
      <c r="AB149" s="198"/>
      <c r="AC149" s="198"/>
      <c r="AD149" s="198"/>
      <c r="AE149" s="198"/>
      <c r="AF149" s="198"/>
      <c r="AG149" s="198"/>
      <c r="AH149" s="198"/>
    </row>
    <row r="150" ht="15.75" customHeight="1">
      <c r="A150" s="198"/>
      <c r="B150" s="198"/>
      <c r="C150" s="198"/>
      <c r="D150" s="198"/>
      <c r="E150" s="198"/>
      <c r="F150" s="198"/>
      <c r="G150" s="199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9"/>
      <c r="AA150" s="198"/>
      <c r="AB150" s="198"/>
      <c r="AC150" s="198"/>
      <c r="AD150" s="198"/>
      <c r="AE150" s="198"/>
      <c r="AF150" s="198"/>
      <c r="AG150" s="198"/>
      <c r="AH150" s="198"/>
    </row>
    <row r="151" ht="15.75" customHeight="1">
      <c r="A151" s="198"/>
      <c r="B151" s="198"/>
      <c r="C151" s="198"/>
      <c r="D151" s="198"/>
      <c r="E151" s="198"/>
      <c r="F151" s="198"/>
      <c r="G151" s="199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9"/>
      <c r="AA151" s="198"/>
      <c r="AB151" s="198"/>
      <c r="AC151" s="198"/>
      <c r="AD151" s="198"/>
      <c r="AE151" s="198"/>
      <c r="AF151" s="198"/>
      <c r="AG151" s="198"/>
      <c r="AH151" s="198"/>
    </row>
    <row r="152" ht="15.75" customHeight="1">
      <c r="A152" s="198"/>
      <c r="B152" s="198"/>
      <c r="C152" s="198"/>
      <c r="D152" s="198"/>
      <c r="E152" s="198"/>
      <c r="F152" s="198"/>
      <c r="G152" s="199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9"/>
      <c r="AA152" s="198"/>
      <c r="AB152" s="198"/>
      <c r="AC152" s="198"/>
      <c r="AD152" s="198"/>
      <c r="AE152" s="198"/>
      <c r="AF152" s="198"/>
      <c r="AG152" s="198"/>
      <c r="AH152" s="198"/>
    </row>
    <row r="153" ht="15.75" customHeight="1">
      <c r="A153" s="198"/>
      <c r="B153" s="198"/>
      <c r="C153" s="198"/>
      <c r="D153" s="198"/>
      <c r="E153" s="198"/>
      <c r="F153" s="198"/>
      <c r="G153" s="199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9"/>
      <c r="AA153" s="198"/>
      <c r="AB153" s="198"/>
      <c r="AC153" s="198"/>
      <c r="AD153" s="198"/>
      <c r="AE153" s="198"/>
      <c r="AF153" s="198"/>
      <c r="AG153" s="198"/>
      <c r="AH153" s="198"/>
    </row>
    <row r="154" ht="15.75" customHeight="1">
      <c r="A154" s="198"/>
      <c r="B154" s="198"/>
      <c r="C154" s="198"/>
      <c r="D154" s="198"/>
      <c r="E154" s="198"/>
      <c r="F154" s="198"/>
      <c r="G154" s="199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9"/>
      <c r="AA154" s="198"/>
      <c r="AB154" s="198"/>
      <c r="AC154" s="198"/>
      <c r="AD154" s="198"/>
      <c r="AE154" s="198"/>
      <c r="AF154" s="198"/>
      <c r="AG154" s="198"/>
      <c r="AH154" s="198"/>
    </row>
    <row r="155" ht="15.75" customHeight="1">
      <c r="A155" s="198"/>
      <c r="B155" s="198"/>
      <c r="C155" s="198"/>
      <c r="D155" s="198"/>
      <c r="E155" s="198"/>
      <c r="F155" s="198"/>
      <c r="G155" s="199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9"/>
      <c r="AA155" s="198"/>
      <c r="AB155" s="198"/>
      <c r="AC155" s="198"/>
      <c r="AD155" s="198"/>
      <c r="AE155" s="198"/>
      <c r="AF155" s="198"/>
      <c r="AG155" s="198"/>
      <c r="AH155" s="198"/>
    </row>
    <row r="156" ht="15.75" customHeight="1">
      <c r="A156" s="198"/>
      <c r="B156" s="198"/>
      <c r="C156" s="198"/>
      <c r="D156" s="198"/>
      <c r="E156" s="198"/>
      <c r="F156" s="198"/>
      <c r="G156" s="199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9"/>
      <c r="AA156" s="198"/>
      <c r="AB156" s="198"/>
      <c r="AC156" s="198"/>
      <c r="AD156" s="198"/>
      <c r="AE156" s="198"/>
      <c r="AF156" s="198"/>
      <c r="AG156" s="198"/>
      <c r="AH156" s="198"/>
    </row>
    <row r="157" ht="15.75" customHeight="1">
      <c r="A157" s="198"/>
      <c r="B157" s="198"/>
      <c r="C157" s="198"/>
      <c r="D157" s="198"/>
      <c r="E157" s="198"/>
      <c r="F157" s="198"/>
      <c r="G157" s="199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9"/>
      <c r="AA157" s="198"/>
      <c r="AB157" s="198"/>
      <c r="AC157" s="198"/>
      <c r="AD157" s="198"/>
      <c r="AE157" s="198"/>
      <c r="AF157" s="198"/>
      <c r="AG157" s="198"/>
      <c r="AH157" s="198"/>
    </row>
    <row r="158" ht="15.75" customHeight="1">
      <c r="A158" s="198"/>
      <c r="B158" s="198"/>
      <c r="C158" s="198"/>
      <c r="D158" s="198"/>
      <c r="E158" s="198"/>
      <c r="F158" s="198"/>
      <c r="G158" s="199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9"/>
      <c r="AA158" s="198"/>
      <c r="AB158" s="198"/>
      <c r="AC158" s="198"/>
      <c r="AD158" s="198"/>
      <c r="AE158" s="198"/>
      <c r="AF158" s="198"/>
      <c r="AG158" s="198"/>
      <c r="AH158" s="198"/>
    </row>
    <row r="159" ht="15.75" customHeight="1">
      <c r="A159" s="198"/>
      <c r="B159" s="198"/>
      <c r="C159" s="198"/>
      <c r="D159" s="198"/>
      <c r="E159" s="198"/>
      <c r="F159" s="198"/>
      <c r="G159" s="199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9"/>
      <c r="AA159" s="198"/>
      <c r="AB159" s="198"/>
      <c r="AC159" s="198"/>
      <c r="AD159" s="198"/>
      <c r="AE159" s="198"/>
      <c r="AF159" s="198"/>
      <c r="AG159" s="198"/>
      <c r="AH159" s="198"/>
    </row>
    <row r="160" ht="15.75" customHeight="1">
      <c r="A160" s="198"/>
      <c r="B160" s="198"/>
      <c r="C160" s="198"/>
      <c r="D160" s="198"/>
      <c r="E160" s="198"/>
      <c r="F160" s="198"/>
      <c r="G160" s="199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9"/>
      <c r="AA160" s="198"/>
      <c r="AB160" s="198"/>
      <c r="AC160" s="198"/>
      <c r="AD160" s="198"/>
      <c r="AE160" s="198"/>
      <c r="AF160" s="198"/>
      <c r="AG160" s="198"/>
      <c r="AH160" s="198"/>
    </row>
    <row r="161" ht="15.75" customHeight="1">
      <c r="A161" s="198"/>
      <c r="B161" s="198"/>
      <c r="C161" s="198"/>
      <c r="D161" s="198"/>
      <c r="E161" s="198"/>
      <c r="F161" s="198"/>
      <c r="G161" s="199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9"/>
      <c r="AA161" s="198"/>
      <c r="AB161" s="198"/>
      <c r="AC161" s="198"/>
      <c r="AD161" s="198"/>
      <c r="AE161" s="198"/>
      <c r="AF161" s="198"/>
      <c r="AG161" s="198"/>
      <c r="AH161" s="198"/>
    </row>
    <row r="162" ht="15.75" customHeight="1">
      <c r="A162" s="198"/>
      <c r="B162" s="198"/>
      <c r="C162" s="198"/>
      <c r="D162" s="198"/>
      <c r="E162" s="198"/>
      <c r="F162" s="198"/>
      <c r="G162" s="199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9"/>
      <c r="AA162" s="198"/>
      <c r="AB162" s="198"/>
      <c r="AC162" s="198"/>
      <c r="AD162" s="198"/>
      <c r="AE162" s="198"/>
      <c r="AF162" s="198"/>
      <c r="AG162" s="198"/>
      <c r="AH162" s="198"/>
    </row>
    <row r="163" ht="15.75" customHeight="1">
      <c r="A163" s="198"/>
      <c r="B163" s="198"/>
      <c r="C163" s="198"/>
      <c r="D163" s="198"/>
      <c r="E163" s="198"/>
      <c r="F163" s="198"/>
      <c r="G163" s="199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9"/>
      <c r="AA163" s="198"/>
      <c r="AB163" s="198"/>
      <c r="AC163" s="198"/>
      <c r="AD163" s="198"/>
      <c r="AE163" s="198"/>
      <c r="AF163" s="198"/>
      <c r="AG163" s="198"/>
      <c r="AH163" s="198"/>
    </row>
    <row r="164" ht="15.75" customHeight="1">
      <c r="A164" s="198"/>
      <c r="B164" s="198"/>
      <c r="C164" s="198"/>
      <c r="D164" s="198"/>
      <c r="E164" s="198"/>
      <c r="F164" s="198"/>
      <c r="G164" s="199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9"/>
      <c r="AA164" s="198"/>
      <c r="AB164" s="198"/>
      <c r="AC164" s="198"/>
      <c r="AD164" s="198"/>
      <c r="AE164" s="198"/>
      <c r="AF164" s="198"/>
      <c r="AG164" s="198"/>
      <c r="AH164" s="198"/>
    </row>
    <row r="165" ht="15.75" customHeight="1">
      <c r="A165" s="198"/>
      <c r="B165" s="198"/>
      <c r="C165" s="198"/>
      <c r="D165" s="198"/>
      <c r="E165" s="198"/>
      <c r="F165" s="198"/>
      <c r="G165" s="199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9"/>
      <c r="AA165" s="198"/>
      <c r="AB165" s="198"/>
      <c r="AC165" s="198"/>
      <c r="AD165" s="198"/>
      <c r="AE165" s="198"/>
      <c r="AF165" s="198"/>
      <c r="AG165" s="198"/>
      <c r="AH165" s="198"/>
    </row>
    <row r="166" ht="15.75" customHeight="1">
      <c r="A166" s="198"/>
      <c r="B166" s="198"/>
      <c r="C166" s="198"/>
      <c r="D166" s="198"/>
      <c r="E166" s="198"/>
      <c r="F166" s="198"/>
      <c r="G166" s="199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9"/>
      <c r="AA166" s="198"/>
      <c r="AB166" s="198"/>
      <c r="AC166" s="198"/>
      <c r="AD166" s="198"/>
      <c r="AE166" s="198"/>
      <c r="AF166" s="198"/>
      <c r="AG166" s="198"/>
      <c r="AH166" s="198"/>
    </row>
    <row r="167" ht="15.75" customHeight="1">
      <c r="A167" s="198"/>
      <c r="B167" s="198"/>
      <c r="C167" s="198"/>
      <c r="D167" s="198"/>
      <c r="E167" s="198"/>
      <c r="F167" s="198"/>
      <c r="G167" s="199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9"/>
      <c r="AA167" s="198"/>
      <c r="AB167" s="198"/>
      <c r="AC167" s="198"/>
      <c r="AD167" s="198"/>
      <c r="AE167" s="198"/>
      <c r="AF167" s="198"/>
      <c r="AG167" s="198"/>
      <c r="AH167" s="198"/>
    </row>
    <row r="168" ht="15.75" customHeight="1">
      <c r="A168" s="198"/>
      <c r="B168" s="198"/>
      <c r="C168" s="198"/>
      <c r="D168" s="198"/>
      <c r="E168" s="198"/>
      <c r="F168" s="198"/>
      <c r="G168" s="199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9"/>
      <c r="AA168" s="198"/>
      <c r="AB168" s="198"/>
      <c r="AC168" s="198"/>
      <c r="AD168" s="198"/>
      <c r="AE168" s="198"/>
      <c r="AF168" s="198"/>
      <c r="AG168" s="198"/>
      <c r="AH168" s="198"/>
    </row>
    <row r="169" ht="15.75" customHeight="1">
      <c r="A169" s="198"/>
      <c r="B169" s="198"/>
      <c r="C169" s="198"/>
      <c r="D169" s="198"/>
      <c r="E169" s="198"/>
      <c r="F169" s="198"/>
      <c r="G169" s="199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9"/>
      <c r="AA169" s="198"/>
      <c r="AB169" s="198"/>
      <c r="AC169" s="198"/>
      <c r="AD169" s="198"/>
      <c r="AE169" s="198"/>
      <c r="AF169" s="198"/>
      <c r="AG169" s="198"/>
      <c r="AH169" s="198"/>
    </row>
    <row r="170" ht="15.75" customHeight="1">
      <c r="A170" s="198"/>
      <c r="B170" s="198"/>
      <c r="C170" s="198"/>
      <c r="D170" s="198"/>
      <c r="E170" s="198"/>
      <c r="F170" s="198"/>
      <c r="G170" s="199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9"/>
      <c r="AA170" s="198"/>
      <c r="AB170" s="198"/>
      <c r="AC170" s="198"/>
      <c r="AD170" s="198"/>
      <c r="AE170" s="198"/>
      <c r="AF170" s="198"/>
      <c r="AG170" s="198"/>
      <c r="AH170" s="198"/>
    </row>
    <row r="171" ht="15.75" customHeight="1">
      <c r="A171" s="198"/>
      <c r="B171" s="198"/>
      <c r="C171" s="198"/>
      <c r="D171" s="198"/>
      <c r="E171" s="198"/>
      <c r="F171" s="198"/>
      <c r="G171" s="199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9"/>
      <c r="AA171" s="198"/>
      <c r="AB171" s="198"/>
      <c r="AC171" s="198"/>
      <c r="AD171" s="198"/>
      <c r="AE171" s="198"/>
      <c r="AF171" s="198"/>
      <c r="AG171" s="198"/>
      <c r="AH171" s="198"/>
    </row>
    <row r="172" ht="15.75" customHeight="1">
      <c r="A172" s="198"/>
      <c r="B172" s="198"/>
      <c r="C172" s="198"/>
      <c r="D172" s="198"/>
      <c r="E172" s="198"/>
      <c r="F172" s="198"/>
      <c r="G172" s="199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9"/>
      <c r="AA172" s="198"/>
      <c r="AB172" s="198"/>
      <c r="AC172" s="198"/>
      <c r="AD172" s="198"/>
      <c r="AE172" s="198"/>
      <c r="AF172" s="198"/>
      <c r="AG172" s="198"/>
      <c r="AH172" s="198"/>
    </row>
    <row r="173" ht="15.75" customHeight="1">
      <c r="A173" s="198"/>
      <c r="B173" s="198"/>
      <c r="C173" s="198"/>
      <c r="D173" s="198"/>
      <c r="E173" s="198"/>
      <c r="F173" s="198"/>
      <c r="G173" s="199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9"/>
      <c r="AA173" s="198"/>
      <c r="AB173" s="198"/>
      <c r="AC173" s="198"/>
      <c r="AD173" s="198"/>
      <c r="AE173" s="198"/>
      <c r="AF173" s="198"/>
      <c r="AG173" s="198"/>
      <c r="AH173" s="198"/>
    </row>
    <row r="174" ht="15.75" customHeight="1">
      <c r="A174" s="198"/>
      <c r="B174" s="198"/>
      <c r="C174" s="198"/>
      <c r="D174" s="198"/>
      <c r="E174" s="198"/>
      <c r="F174" s="198"/>
      <c r="G174" s="199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9"/>
      <c r="AA174" s="198"/>
      <c r="AB174" s="198"/>
      <c r="AC174" s="198"/>
      <c r="AD174" s="198"/>
      <c r="AE174" s="198"/>
      <c r="AF174" s="198"/>
      <c r="AG174" s="198"/>
      <c r="AH174" s="198"/>
    </row>
    <row r="175" ht="15.75" customHeight="1">
      <c r="A175" s="198"/>
      <c r="B175" s="198"/>
      <c r="C175" s="198"/>
      <c r="D175" s="198"/>
      <c r="E175" s="198"/>
      <c r="F175" s="198"/>
      <c r="G175" s="199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9"/>
      <c r="AA175" s="198"/>
      <c r="AB175" s="198"/>
      <c r="AC175" s="198"/>
      <c r="AD175" s="198"/>
      <c r="AE175" s="198"/>
      <c r="AF175" s="198"/>
      <c r="AG175" s="198"/>
      <c r="AH175" s="198"/>
    </row>
    <row r="176" ht="15.75" customHeight="1">
      <c r="A176" s="198"/>
      <c r="B176" s="198"/>
      <c r="C176" s="198"/>
      <c r="D176" s="198"/>
      <c r="E176" s="198"/>
      <c r="F176" s="198"/>
      <c r="G176" s="199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9"/>
      <c r="AA176" s="198"/>
      <c r="AB176" s="198"/>
      <c r="AC176" s="198"/>
      <c r="AD176" s="198"/>
      <c r="AE176" s="198"/>
      <c r="AF176" s="198"/>
      <c r="AG176" s="198"/>
      <c r="AH176" s="198"/>
    </row>
    <row r="177" ht="15.75" customHeight="1">
      <c r="A177" s="198"/>
      <c r="B177" s="198"/>
      <c r="C177" s="198"/>
      <c r="D177" s="198"/>
      <c r="E177" s="198"/>
      <c r="F177" s="198"/>
      <c r="G177" s="199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9"/>
      <c r="AA177" s="198"/>
      <c r="AB177" s="198"/>
      <c r="AC177" s="198"/>
      <c r="AD177" s="198"/>
      <c r="AE177" s="198"/>
      <c r="AF177" s="198"/>
      <c r="AG177" s="198"/>
      <c r="AH177" s="198"/>
    </row>
    <row r="178" ht="15.75" customHeight="1">
      <c r="A178" s="198"/>
      <c r="B178" s="198"/>
      <c r="C178" s="198"/>
      <c r="D178" s="198"/>
      <c r="E178" s="198"/>
      <c r="F178" s="198"/>
      <c r="G178" s="199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9"/>
      <c r="AA178" s="198"/>
      <c r="AB178" s="198"/>
      <c r="AC178" s="198"/>
      <c r="AD178" s="198"/>
      <c r="AE178" s="198"/>
      <c r="AF178" s="198"/>
      <c r="AG178" s="198"/>
      <c r="AH178" s="198"/>
    </row>
    <row r="179" ht="15.75" customHeight="1">
      <c r="A179" s="198"/>
      <c r="B179" s="198"/>
      <c r="C179" s="198"/>
      <c r="D179" s="198"/>
      <c r="E179" s="198"/>
      <c r="F179" s="198"/>
      <c r="G179" s="199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9"/>
      <c r="AA179" s="198"/>
      <c r="AB179" s="198"/>
      <c r="AC179" s="198"/>
      <c r="AD179" s="198"/>
      <c r="AE179" s="198"/>
      <c r="AF179" s="198"/>
      <c r="AG179" s="198"/>
      <c r="AH179" s="198"/>
    </row>
    <row r="180" ht="15.75" customHeight="1">
      <c r="A180" s="198"/>
      <c r="B180" s="198"/>
      <c r="C180" s="198"/>
      <c r="D180" s="198"/>
      <c r="E180" s="198"/>
      <c r="F180" s="198"/>
      <c r="G180" s="199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9"/>
      <c r="AA180" s="198"/>
      <c r="AB180" s="198"/>
      <c r="AC180" s="198"/>
      <c r="AD180" s="198"/>
      <c r="AE180" s="198"/>
      <c r="AF180" s="198"/>
      <c r="AG180" s="198"/>
      <c r="AH180" s="198"/>
    </row>
    <row r="181" ht="15.75" customHeight="1">
      <c r="A181" s="198"/>
      <c r="B181" s="198"/>
      <c r="C181" s="198"/>
      <c r="D181" s="198"/>
      <c r="E181" s="198"/>
      <c r="F181" s="198"/>
      <c r="G181" s="199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9"/>
      <c r="AA181" s="198"/>
      <c r="AB181" s="198"/>
      <c r="AC181" s="198"/>
      <c r="AD181" s="198"/>
      <c r="AE181" s="198"/>
      <c r="AF181" s="198"/>
      <c r="AG181" s="198"/>
      <c r="AH181" s="198"/>
    </row>
    <row r="182" ht="15.75" customHeight="1">
      <c r="A182" s="198"/>
      <c r="B182" s="198"/>
      <c r="C182" s="198"/>
      <c r="D182" s="198"/>
      <c r="E182" s="198"/>
      <c r="F182" s="198"/>
      <c r="G182" s="199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9"/>
      <c r="AA182" s="198"/>
      <c r="AB182" s="198"/>
      <c r="AC182" s="198"/>
      <c r="AD182" s="198"/>
      <c r="AE182" s="198"/>
      <c r="AF182" s="198"/>
      <c r="AG182" s="198"/>
      <c r="AH182" s="198"/>
    </row>
    <row r="183" ht="15.75" customHeight="1">
      <c r="A183" s="198"/>
      <c r="B183" s="198"/>
      <c r="C183" s="198"/>
      <c r="D183" s="198"/>
      <c r="E183" s="198"/>
      <c r="F183" s="198"/>
      <c r="G183" s="199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9"/>
      <c r="AA183" s="198"/>
      <c r="AB183" s="198"/>
      <c r="AC183" s="198"/>
      <c r="AD183" s="198"/>
      <c r="AE183" s="198"/>
      <c r="AF183" s="198"/>
      <c r="AG183" s="198"/>
      <c r="AH183" s="198"/>
    </row>
    <row r="184" ht="15.75" customHeight="1">
      <c r="A184" s="198"/>
      <c r="B184" s="198"/>
      <c r="C184" s="198"/>
      <c r="D184" s="198"/>
      <c r="E184" s="198"/>
      <c r="F184" s="198"/>
      <c r="G184" s="199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9"/>
      <c r="AA184" s="198"/>
      <c r="AB184" s="198"/>
      <c r="AC184" s="198"/>
      <c r="AD184" s="198"/>
      <c r="AE184" s="198"/>
      <c r="AF184" s="198"/>
      <c r="AG184" s="198"/>
      <c r="AH184" s="198"/>
    </row>
    <row r="185" ht="15.75" customHeight="1">
      <c r="A185" s="198"/>
      <c r="B185" s="198"/>
      <c r="C185" s="198"/>
      <c r="D185" s="198"/>
      <c r="E185" s="198"/>
      <c r="F185" s="198"/>
      <c r="G185" s="199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9"/>
      <c r="AA185" s="198"/>
      <c r="AB185" s="198"/>
      <c r="AC185" s="198"/>
      <c r="AD185" s="198"/>
      <c r="AE185" s="198"/>
      <c r="AF185" s="198"/>
      <c r="AG185" s="198"/>
      <c r="AH185" s="198"/>
    </row>
    <row r="186" ht="15.75" customHeight="1">
      <c r="A186" s="198"/>
      <c r="B186" s="198"/>
      <c r="C186" s="198"/>
      <c r="D186" s="198"/>
      <c r="E186" s="198"/>
      <c r="F186" s="198"/>
      <c r="G186" s="199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9"/>
      <c r="AA186" s="198"/>
      <c r="AB186" s="198"/>
      <c r="AC186" s="198"/>
      <c r="AD186" s="198"/>
      <c r="AE186" s="198"/>
      <c r="AF186" s="198"/>
      <c r="AG186" s="198"/>
      <c r="AH186" s="198"/>
    </row>
    <row r="187" ht="15.75" customHeight="1">
      <c r="A187" s="198"/>
      <c r="B187" s="198"/>
      <c r="C187" s="198"/>
      <c r="D187" s="198"/>
      <c r="E187" s="198"/>
      <c r="F187" s="198"/>
      <c r="G187" s="199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9"/>
      <c r="AA187" s="198"/>
      <c r="AB187" s="198"/>
      <c r="AC187" s="198"/>
      <c r="AD187" s="198"/>
      <c r="AE187" s="198"/>
      <c r="AF187" s="198"/>
      <c r="AG187" s="198"/>
      <c r="AH187" s="198"/>
    </row>
    <row r="188" ht="15.75" customHeight="1">
      <c r="A188" s="198"/>
      <c r="B188" s="198"/>
      <c r="C188" s="198"/>
      <c r="D188" s="198"/>
      <c r="E188" s="198"/>
      <c r="F188" s="198"/>
      <c r="G188" s="199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9"/>
      <c r="AA188" s="198"/>
      <c r="AB188" s="198"/>
      <c r="AC188" s="198"/>
      <c r="AD188" s="198"/>
      <c r="AE188" s="198"/>
      <c r="AF188" s="198"/>
      <c r="AG188" s="198"/>
      <c r="AH188" s="198"/>
    </row>
    <row r="189" ht="15.75" customHeight="1">
      <c r="A189" s="198"/>
      <c r="B189" s="198"/>
      <c r="C189" s="198"/>
      <c r="D189" s="198"/>
      <c r="E189" s="198"/>
      <c r="F189" s="198"/>
      <c r="G189" s="199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9"/>
      <c r="AA189" s="198"/>
      <c r="AB189" s="198"/>
      <c r="AC189" s="198"/>
      <c r="AD189" s="198"/>
      <c r="AE189" s="198"/>
      <c r="AF189" s="198"/>
      <c r="AG189" s="198"/>
      <c r="AH189" s="198"/>
    </row>
    <row r="190" ht="15.75" customHeight="1">
      <c r="A190" s="198"/>
      <c r="B190" s="198"/>
      <c r="C190" s="198"/>
      <c r="D190" s="198"/>
      <c r="E190" s="198"/>
      <c r="F190" s="198"/>
      <c r="G190" s="199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9"/>
      <c r="AA190" s="198"/>
      <c r="AB190" s="198"/>
      <c r="AC190" s="198"/>
      <c r="AD190" s="198"/>
      <c r="AE190" s="198"/>
      <c r="AF190" s="198"/>
      <c r="AG190" s="198"/>
      <c r="AH190" s="198"/>
    </row>
    <row r="191" ht="15.75" customHeight="1">
      <c r="A191" s="198"/>
      <c r="B191" s="198"/>
      <c r="C191" s="198"/>
      <c r="D191" s="198"/>
      <c r="E191" s="198"/>
      <c r="F191" s="198"/>
      <c r="G191" s="199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9"/>
      <c r="AA191" s="198"/>
      <c r="AB191" s="198"/>
      <c r="AC191" s="198"/>
      <c r="AD191" s="198"/>
      <c r="AE191" s="198"/>
      <c r="AF191" s="198"/>
      <c r="AG191" s="198"/>
      <c r="AH191" s="198"/>
    </row>
    <row r="192" ht="15.75" customHeight="1">
      <c r="A192" s="198"/>
      <c r="B192" s="198"/>
      <c r="C192" s="198"/>
      <c r="D192" s="198"/>
      <c r="E192" s="198"/>
      <c r="F192" s="198"/>
      <c r="G192" s="199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9"/>
      <c r="AA192" s="198"/>
      <c r="AB192" s="198"/>
      <c r="AC192" s="198"/>
      <c r="AD192" s="198"/>
      <c r="AE192" s="198"/>
      <c r="AF192" s="198"/>
      <c r="AG192" s="198"/>
      <c r="AH192" s="198"/>
    </row>
    <row r="193" ht="15.75" customHeight="1">
      <c r="A193" s="198"/>
      <c r="B193" s="198"/>
      <c r="C193" s="198"/>
      <c r="D193" s="198"/>
      <c r="E193" s="198"/>
      <c r="F193" s="198"/>
      <c r="G193" s="199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9"/>
      <c r="AA193" s="198"/>
      <c r="AB193" s="198"/>
      <c r="AC193" s="198"/>
      <c r="AD193" s="198"/>
      <c r="AE193" s="198"/>
      <c r="AF193" s="198"/>
      <c r="AG193" s="198"/>
      <c r="AH193" s="198"/>
    </row>
    <row r="194" ht="15.75" customHeight="1">
      <c r="A194" s="198"/>
      <c r="B194" s="198"/>
      <c r="C194" s="198"/>
      <c r="D194" s="198"/>
      <c r="E194" s="198"/>
      <c r="F194" s="198"/>
      <c r="G194" s="199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9"/>
      <c r="AA194" s="198"/>
      <c r="AB194" s="198"/>
      <c r="AC194" s="198"/>
      <c r="AD194" s="198"/>
      <c r="AE194" s="198"/>
      <c r="AF194" s="198"/>
      <c r="AG194" s="198"/>
      <c r="AH194" s="198"/>
    </row>
    <row r="195" ht="15.75" customHeight="1">
      <c r="A195" s="198"/>
      <c r="B195" s="198"/>
      <c r="C195" s="198"/>
      <c r="D195" s="198"/>
      <c r="E195" s="198"/>
      <c r="F195" s="198"/>
      <c r="G195" s="199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9"/>
      <c r="AA195" s="198"/>
      <c r="AB195" s="198"/>
      <c r="AC195" s="198"/>
      <c r="AD195" s="198"/>
      <c r="AE195" s="198"/>
      <c r="AF195" s="198"/>
      <c r="AG195" s="198"/>
      <c r="AH195" s="198"/>
    </row>
    <row r="196" ht="15.75" customHeight="1">
      <c r="A196" s="198"/>
      <c r="B196" s="198"/>
      <c r="C196" s="198"/>
      <c r="D196" s="198"/>
      <c r="E196" s="198"/>
      <c r="F196" s="198"/>
      <c r="G196" s="199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9"/>
      <c r="AA196" s="198"/>
      <c r="AB196" s="198"/>
      <c r="AC196" s="198"/>
      <c r="AD196" s="198"/>
      <c r="AE196" s="198"/>
      <c r="AF196" s="198"/>
      <c r="AG196" s="198"/>
      <c r="AH196" s="198"/>
    </row>
    <row r="197" ht="15.75" customHeight="1">
      <c r="A197" s="198"/>
      <c r="B197" s="198"/>
      <c r="C197" s="198"/>
      <c r="D197" s="198"/>
      <c r="E197" s="198"/>
      <c r="F197" s="198"/>
      <c r="G197" s="199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9"/>
      <c r="AA197" s="198"/>
      <c r="AB197" s="198"/>
      <c r="AC197" s="198"/>
      <c r="AD197" s="198"/>
      <c r="AE197" s="198"/>
      <c r="AF197" s="198"/>
      <c r="AG197" s="198"/>
      <c r="AH197" s="198"/>
    </row>
    <row r="198" ht="15.75" customHeight="1">
      <c r="A198" s="198"/>
      <c r="B198" s="198"/>
      <c r="C198" s="198"/>
      <c r="D198" s="198"/>
      <c r="E198" s="198"/>
      <c r="F198" s="198"/>
      <c r="G198" s="199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9"/>
      <c r="AA198" s="198"/>
      <c r="AB198" s="198"/>
      <c r="AC198" s="198"/>
      <c r="AD198" s="198"/>
      <c r="AE198" s="198"/>
      <c r="AF198" s="198"/>
      <c r="AG198" s="198"/>
      <c r="AH198" s="198"/>
    </row>
    <row r="199" ht="15.75" customHeight="1">
      <c r="A199" s="198"/>
      <c r="B199" s="198"/>
      <c r="C199" s="198"/>
      <c r="D199" s="198"/>
      <c r="E199" s="198"/>
      <c r="F199" s="198"/>
      <c r="G199" s="199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9"/>
      <c r="AA199" s="198"/>
      <c r="AB199" s="198"/>
      <c r="AC199" s="198"/>
      <c r="AD199" s="198"/>
      <c r="AE199" s="198"/>
      <c r="AF199" s="198"/>
      <c r="AG199" s="198"/>
      <c r="AH199" s="198"/>
    </row>
    <row r="200" ht="15.75" customHeight="1">
      <c r="A200" s="198"/>
      <c r="B200" s="198"/>
      <c r="C200" s="198"/>
      <c r="D200" s="198"/>
      <c r="E200" s="198"/>
      <c r="F200" s="198"/>
      <c r="G200" s="199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9"/>
      <c r="AA200" s="198"/>
      <c r="AB200" s="198"/>
      <c r="AC200" s="198"/>
      <c r="AD200" s="198"/>
      <c r="AE200" s="198"/>
      <c r="AF200" s="198"/>
      <c r="AG200" s="198"/>
      <c r="AH200" s="198"/>
    </row>
    <row r="201" ht="15.75" customHeight="1">
      <c r="A201" s="198"/>
      <c r="B201" s="198"/>
      <c r="C201" s="198"/>
      <c r="D201" s="198"/>
      <c r="E201" s="198"/>
      <c r="F201" s="198"/>
      <c r="G201" s="199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9"/>
      <c r="AA201" s="198"/>
      <c r="AB201" s="198"/>
      <c r="AC201" s="198"/>
      <c r="AD201" s="198"/>
      <c r="AE201" s="198"/>
      <c r="AF201" s="198"/>
      <c r="AG201" s="198"/>
      <c r="AH201" s="198"/>
    </row>
    <row r="202" ht="15.75" customHeight="1">
      <c r="A202" s="198"/>
      <c r="B202" s="198"/>
      <c r="C202" s="198"/>
      <c r="D202" s="198"/>
      <c r="E202" s="198"/>
      <c r="F202" s="198"/>
      <c r="G202" s="199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9"/>
      <c r="AA202" s="198"/>
      <c r="AB202" s="198"/>
      <c r="AC202" s="198"/>
      <c r="AD202" s="198"/>
      <c r="AE202" s="198"/>
      <c r="AF202" s="198"/>
      <c r="AG202" s="198"/>
      <c r="AH202" s="198"/>
    </row>
    <row r="203" ht="15.75" customHeight="1">
      <c r="A203" s="198"/>
      <c r="B203" s="198"/>
      <c r="C203" s="198"/>
      <c r="D203" s="198"/>
      <c r="E203" s="198"/>
      <c r="F203" s="198"/>
      <c r="G203" s="199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9"/>
      <c r="AA203" s="198"/>
      <c r="AB203" s="198"/>
      <c r="AC203" s="198"/>
      <c r="AD203" s="198"/>
      <c r="AE203" s="198"/>
      <c r="AF203" s="198"/>
      <c r="AG203" s="198"/>
      <c r="AH203" s="198"/>
    </row>
    <row r="204" ht="15.75" customHeight="1">
      <c r="A204" s="198"/>
      <c r="B204" s="198"/>
      <c r="C204" s="198"/>
      <c r="D204" s="198"/>
      <c r="E204" s="198"/>
      <c r="F204" s="198"/>
      <c r="G204" s="199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9"/>
      <c r="AA204" s="198"/>
      <c r="AB204" s="198"/>
      <c r="AC204" s="198"/>
      <c r="AD204" s="198"/>
      <c r="AE204" s="198"/>
      <c r="AF204" s="198"/>
      <c r="AG204" s="198"/>
      <c r="AH204" s="198"/>
    </row>
    <row r="205" ht="15.75" customHeight="1">
      <c r="A205" s="198"/>
      <c r="B205" s="198"/>
      <c r="C205" s="198"/>
      <c r="D205" s="198"/>
      <c r="E205" s="198"/>
      <c r="F205" s="198"/>
      <c r="G205" s="199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9"/>
      <c r="AA205" s="198"/>
      <c r="AB205" s="198"/>
      <c r="AC205" s="198"/>
      <c r="AD205" s="198"/>
      <c r="AE205" s="198"/>
      <c r="AF205" s="198"/>
      <c r="AG205" s="198"/>
      <c r="AH205" s="198"/>
    </row>
    <row r="206" ht="15.75" customHeight="1">
      <c r="A206" s="198"/>
      <c r="B206" s="198"/>
      <c r="C206" s="198"/>
      <c r="D206" s="198"/>
      <c r="E206" s="198"/>
      <c r="F206" s="198"/>
      <c r="G206" s="199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9"/>
      <c r="AA206" s="198"/>
      <c r="AB206" s="198"/>
      <c r="AC206" s="198"/>
      <c r="AD206" s="198"/>
      <c r="AE206" s="198"/>
      <c r="AF206" s="198"/>
      <c r="AG206" s="198"/>
      <c r="AH206" s="198"/>
    </row>
    <row r="207" ht="15.75" customHeight="1">
      <c r="A207" s="198"/>
      <c r="B207" s="198"/>
      <c r="C207" s="198"/>
      <c r="D207" s="198"/>
      <c r="E207" s="198"/>
      <c r="F207" s="198"/>
      <c r="G207" s="199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8"/>
      <c r="AB207" s="198"/>
      <c r="AC207" s="198"/>
      <c r="AD207" s="198"/>
      <c r="AE207" s="198"/>
      <c r="AF207" s="198"/>
      <c r="AG207" s="198"/>
      <c r="AH207" s="198"/>
    </row>
    <row r="208" ht="15.75" customHeight="1">
      <c r="A208" s="198"/>
      <c r="B208" s="198"/>
      <c r="C208" s="198"/>
      <c r="D208" s="198"/>
      <c r="E208" s="198"/>
      <c r="F208" s="198"/>
      <c r="G208" s="199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9"/>
      <c r="AA208" s="198"/>
      <c r="AB208" s="198"/>
      <c r="AC208" s="198"/>
      <c r="AD208" s="198"/>
      <c r="AE208" s="198"/>
      <c r="AF208" s="198"/>
      <c r="AG208" s="198"/>
      <c r="AH208" s="198"/>
    </row>
    <row r="209" ht="15.75" customHeight="1">
      <c r="A209" s="198"/>
      <c r="B209" s="198"/>
      <c r="C209" s="198"/>
      <c r="D209" s="198"/>
      <c r="E209" s="198"/>
      <c r="F209" s="198"/>
      <c r="G209" s="199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9"/>
      <c r="AA209" s="198"/>
      <c r="AB209" s="198"/>
      <c r="AC209" s="198"/>
      <c r="AD209" s="198"/>
      <c r="AE209" s="198"/>
      <c r="AF209" s="198"/>
      <c r="AG209" s="198"/>
      <c r="AH209" s="198"/>
    </row>
    <row r="210" ht="15.75" customHeight="1">
      <c r="A210" s="198"/>
      <c r="B210" s="198"/>
      <c r="C210" s="198"/>
      <c r="D210" s="198"/>
      <c r="E210" s="198"/>
      <c r="F210" s="198"/>
      <c r="G210" s="199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8"/>
      <c r="AB210" s="198"/>
      <c r="AC210" s="198"/>
      <c r="AD210" s="198"/>
      <c r="AE210" s="198"/>
      <c r="AF210" s="198"/>
      <c r="AG210" s="198"/>
      <c r="AH210" s="198"/>
    </row>
    <row r="211" ht="15.75" customHeight="1">
      <c r="A211" s="198"/>
      <c r="B211" s="198"/>
      <c r="C211" s="198"/>
      <c r="D211" s="198"/>
      <c r="E211" s="198"/>
      <c r="F211" s="198"/>
      <c r="G211" s="199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8"/>
      <c r="AB211" s="198"/>
      <c r="AC211" s="198"/>
      <c r="AD211" s="198"/>
      <c r="AE211" s="198"/>
      <c r="AF211" s="198"/>
      <c r="AG211" s="198"/>
      <c r="AH211" s="198"/>
    </row>
    <row r="212" ht="15.75" customHeight="1">
      <c r="A212" s="198"/>
      <c r="B212" s="198"/>
      <c r="C212" s="198"/>
      <c r="D212" s="198"/>
      <c r="E212" s="198"/>
      <c r="F212" s="198"/>
      <c r="G212" s="199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9"/>
      <c r="AA212" s="198"/>
      <c r="AB212" s="198"/>
      <c r="AC212" s="198"/>
      <c r="AD212" s="198"/>
      <c r="AE212" s="198"/>
      <c r="AF212" s="198"/>
      <c r="AG212" s="198"/>
      <c r="AH212" s="198"/>
    </row>
    <row r="213" ht="15.75" customHeight="1">
      <c r="A213" s="198"/>
      <c r="B213" s="198"/>
      <c r="C213" s="198"/>
      <c r="D213" s="198"/>
      <c r="E213" s="198"/>
      <c r="F213" s="198"/>
      <c r="G213" s="199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9"/>
      <c r="AA213" s="198"/>
      <c r="AB213" s="198"/>
      <c r="AC213" s="198"/>
      <c r="AD213" s="198"/>
      <c r="AE213" s="198"/>
      <c r="AF213" s="198"/>
      <c r="AG213" s="198"/>
      <c r="AH213" s="198"/>
    </row>
    <row r="214" ht="15.75" customHeight="1">
      <c r="A214" s="198"/>
      <c r="B214" s="198"/>
      <c r="C214" s="198"/>
      <c r="D214" s="198"/>
      <c r="E214" s="198"/>
      <c r="F214" s="198"/>
      <c r="G214" s="199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8"/>
      <c r="AB214" s="198"/>
      <c r="AC214" s="198"/>
      <c r="AD214" s="198"/>
      <c r="AE214" s="198"/>
      <c r="AF214" s="198"/>
      <c r="AG214" s="198"/>
      <c r="AH214" s="198"/>
    </row>
    <row r="215" ht="15.75" customHeight="1">
      <c r="A215" s="198"/>
      <c r="B215" s="198"/>
      <c r="C215" s="198"/>
      <c r="D215" s="198"/>
      <c r="E215" s="198"/>
      <c r="F215" s="198"/>
      <c r="G215" s="199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9"/>
      <c r="AA215" s="198"/>
      <c r="AB215" s="198"/>
      <c r="AC215" s="198"/>
      <c r="AD215" s="198"/>
      <c r="AE215" s="198"/>
      <c r="AF215" s="198"/>
      <c r="AG215" s="198"/>
      <c r="AH215" s="198"/>
    </row>
    <row r="216" ht="15.75" customHeight="1">
      <c r="A216" s="198"/>
      <c r="B216" s="198"/>
      <c r="C216" s="198"/>
      <c r="D216" s="198"/>
      <c r="E216" s="198"/>
      <c r="F216" s="198"/>
      <c r="G216" s="199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9"/>
      <c r="AA216" s="198"/>
      <c r="AB216" s="198"/>
      <c r="AC216" s="198"/>
      <c r="AD216" s="198"/>
      <c r="AE216" s="198"/>
      <c r="AF216" s="198"/>
      <c r="AG216" s="198"/>
      <c r="AH216" s="198"/>
    </row>
    <row r="217" ht="15.75" customHeight="1">
      <c r="A217" s="198"/>
      <c r="B217" s="198"/>
      <c r="C217" s="198"/>
      <c r="D217" s="198"/>
      <c r="E217" s="198"/>
      <c r="F217" s="198"/>
      <c r="G217" s="199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9"/>
      <c r="AA217" s="198"/>
      <c r="AB217" s="198"/>
      <c r="AC217" s="198"/>
      <c r="AD217" s="198"/>
      <c r="AE217" s="198"/>
      <c r="AF217" s="198"/>
      <c r="AG217" s="198"/>
      <c r="AH217" s="198"/>
    </row>
    <row r="218" ht="15.75" customHeight="1">
      <c r="A218" s="198"/>
      <c r="B218" s="198"/>
      <c r="C218" s="198"/>
      <c r="D218" s="198"/>
      <c r="E218" s="198"/>
      <c r="F218" s="198"/>
      <c r="G218" s="199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9"/>
      <c r="AA218" s="198"/>
      <c r="AB218" s="198"/>
      <c r="AC218" s="198"/>
      <c r="AD218" s="198"/>
      <c r="AE218" s="198"/>
      <c r="AF218" s="198"/>
      <c r="AG218" s="198"/>
      <c r="AH218" s="198"/>
    </row>
    <row r="219" ht="15.75" customHeight="1">
      <c r="A219" s="198"/>
      <c r="B219" s="198"/>
      <c r="C219" s="198"/>
      <c r="D219" s="198"/>
      <c r="E219" s="198"/>
      <c r="F219" s="198"/>
      <c r="G219" s="199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9"/>
      <c r="AA219" s="198"/>
      <c r="AB219" s="198"/>
      <c r="AC219" s="198"/>
      <c r="AD219" s="198"/>
      <c r="AE219" s="198"/>
      <c r="AF219" s="198"/>
      <c r="AG219" s="198"/>
      <c r="AH219" s="198"/>
    </row>
    <row r="220" ht="15.75" customHeight="1">
      <c r="A220" s="198"/>
      <c r="B220" s="198"/>
      <c r="C220" s="198"/>
      <c r="D220" s="198"/>
      <c r="E220" s="198"/>
      <c r="F220" s="198"/>
      <c r="G220" s="199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9"/>
      <c r="AA220" s="198"/>
      <c r="AB220" s="198"/>
      <c r="AC220" s="198"/>
      <c r="AD220" s="198"/>
      <c r="AE220" s="198"/>
      <c r="AF220" s="198"/>
      <c r="AG220" s="198"/>
      <c r="AH220" s="198"/>
    </row>
    <row r="221" ht="15.75" customHeight="1">
      <c r="A221" s="198"/>
      <c r="B221" s="198"/>
      <c r="C221" s="198"/>
      <c r="D221" s="198"/>
      <c r="E221" s="198"/>
      <c r="F221" s="198"/>
      <c r="G221" s="199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9"/>
      <c r="AA221" s="198"/>
      <c r="AB221" s="198"/>
      <c r="AC221" s="198"/>
      <c r="AD221" s="198"/>
      <c r="AE221" s="198"/>
      <c r="AF221" s="198"/>
      <c r="AG221" s="198"/>
      <c r="AH221" s="198"/>
    </row>
    <row r="222" ht="15.75" customHeight="1">
      <c r="A222" s="198"/>
      <c r="B222" s="198"/>
      <c r="C222" s="198"/>
      <c r="D222" s="198"/>
      <c r="E222" s="198"/>
      <c r="F222" s="198"/>
      <c r="G222" s="199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9"/>
      <c r="AA222" s="198"/>
      <c r="AB222" s="198"/>
      <c r="AC222" s="198"/>
      <c r="AD222" s="198"/>
      <c r="AE222" s="198"/>
      <c r="AF222" s="198"/>
      <c r="AG222" s="198"/>
      <c r="AH222" s="198"/>
    </row>
    <row r="223" ht="15.75" customHeight="1">
      <c r="A223" s="198"/>
      <c r="B223" s="198"/>
      <c r="C223" s="198"/>
      <c r="D223" s="198"/>
      <c r="E223" s="198"/>
      <c r="F223" s="198"/>
      <c r="G223" s="199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9"/>
      <c r="AA223" s="198"/>
      <c r="AB223" s="198"/>
      <c r="AC223" s="198"/>
      <c r="AD223" s="198"/>
      <c r="AE223" s="198"/>
      <c r="AF223" s="198"/>
      <c r="AG223" s="198"/>
      <c r="AH223" s="198"/>
    </row>
    <row r="224" ht="15.75" customHeight="1">
      <c r="A224" s="198"/>
      <c r="B224" s="198"/>
      <c r="C224" s="198"/>
      <c r="D224" s="198"/>
      <c r="E224" s="198"/>
      <c r="F224" s="198"/>
      <c r="G224" s="199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9"/>
      <c r="AA224" s="198"/>
      <c r="AB224" s="198"/>
      <c r="AC224" s="198"/>
      <c r="AD224" s="198"/>
      <c r="AE224" s="198"/>
      <c r="AF224" s="198"/>
      <c r="AG224" s="198"/>
      <c r="AH224" s="198"/>
    </row>
    <row r="225" ht="15.75" customHeight="1">
      <c r="A225" s="198"/>
      <c r="B225" s="198"/>
      <c r="C225" s="198"/>
      <c r="D225" s="198"/>
      <c r="E225" s="198"/>
      <c r="F225" s="198"/>
      <c r="G225" s="199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9"/>
      <c r="AA225" s="198"/>
      <c r="AB225" s="198"/>
      <c r="AC225" s="198"/>
      <c r="AD225" s="198"/>
      <c r="AE225" s="198"/>
      <c r="AF225" s="198"/>
      <c r="AG225" s="198"/>
      <c r="AH225" s="198"/>
    </row>
    <row r="226" ht="15.75" customHeight="1">
      <c r="A226" s="198"/>
      <c r="B226" s="198"/>
      <c r="C226" s="198"/>
      <c r="D226" s="198"/>
      <c r="E226" s="198"/>
      <c r="F226" s="198"/>
      <c r="G226" s="199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9"/>
      <c r="AA226" s="198"/>
      <c r="AB226" s="198"/>
      <c r="AC226" s="198"/>
      <c r="AD226" s="198"/>
      <c r="AE226" s="198"/>
      <c r="AF226" s="198"/>
      <c r="AG226" s="198"/>
      <c r="AH226" s="198"/>
    </row>
    <row r="227" ht="15.75" customHeight="1">
      <c r="A227" s="198"/>
      <c r="B227" s="198"/>
      <c r="C227" s="198"/>
      <c r="D227" s="198"/>
      <c r="E227" s="198"/>
      <c r="F227" s="198"/>
      <c r="G227" s="199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9"/>
      <c r="AA227" s="198"/>
      <c r="AB227" s="198"/>
      <c r="AC227" s="198"/>
      <c r="AD227" s="198"/>
      <c r="AE227" s="198"/>
      <c r="AF227" s="198"/>
      <c r="AG227" s="198"/>
      <c r="AH227" s="198"/>
    </row>
    <row r="228" ht="15.75" customHeight="1">
      <c r="A228" s="198"/>
      <c r="B228" s="198"/>
      <c r="C228" s="198"/>
      <c r="D228" s="198"/>
      <c r="E228" s="198"/>
      <c r="F228" s="198"/>
      <c r="G228" s="199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9"/>
      <c r="AA228" s="198"/>
      <c r="AB228" s="198"/>
      <c r="AC228" s="198"/>
      <c r="AD228" s="198"/>
      <c r="AE228" s="198"/>
      <c r="AF228" s="198"/>
      <c r="AG228" s="198"/>
      <c r="AH228" s="198"/>
    </row>
    <row r="229" ht="15.75" customHeight="1">
      <c r="A229" s="198"/>
      <c r="B229" s="198"/>
      <c r="C229" s="198"/>
      <c r="D229" s="198"/>
      <c r="E229" s="198"/>
      <c r="F229" s="198"/>
      <c r="G229" s="199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9"/>
      <c r="AA229" s="198"/>
      <c r="AB229" s="198"/>
      <c r="AC229" s="198"/>
      <c r="AD229" s="198"/>
      <c r="AE229" s="198"/>
      <c r="AF229" s="198"/>
      <c r="AG229" s="198"/>
      <c r="AH229" s="198"/>
    </row>
    <row r="230" ht="15.75" customHeight="1">
      <c r="A230" s="198"/>
      <c r="B230" s="198"/>
      <c r="C230" s="198"/>
      <c r="D230" s="198"/>
      <c r="E230" s="198"/>
      <c r="F230" s="198"/>
      <c r="G230" s="199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9"/>
      <c r="AA230" s="198"/>
      <c r="AB230" s="198"/>
      <c r="AC230" s="198"/>
      <c r="AD230" s="198"/>
      <c r="AE230" s="198"/>
      <c r="AF230" s="198"/>
      <c r="AG230" s="198"/>
      <c r="AH230" s="198"/>
    </row>
    <row r="231" ht="15.75" customHeight="1">
      <c r="A231" s="198"/>
      <c r="B231" s="198"/>
      <c r="C231" s="198"/>
      <c r="D231" s="198"/>
      <c r="E231" s="198"/>
      <c r="F231" s="198"/>
      <c r="G231" s="199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9"/>
      <c r="AA231" s="198"/>
      <c r="AB231" s="198"/>
      <c r="AC231" s="198"/>
      <c r="AD231" s="198"/>
      <c r="AE231" s="198"/>
      <c r="AF231" s="198"/>
      <c r="AG231" s="198"/>
      <c r="AH231" s="198"/>
    </row>
    <row r="232" ht="15.75" customHeight="1">
      <c r="A232" s="198"/>
      <c r="B232" s="198"/>
      <c r="C232" s="198"/>
      <c r="D232" s="198"/>
      <c r="E232" s="198"/>
      <c r="F232" s="198"/>
      <c r="G232" s="199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9"/>
      <c r="AA232" s="198"/>
      <c r="AB232" s="198"/>
      <c r="AC232" s="198"/>
      <c r="AD232" s="198"/>
      <c r="AE232" s="198"/>
      <c r="AF232" s="198"/>
      <c r="AG232" s="198"/>
      <c r="AH232" s="198"/>
    </row>
    <row r="233" ht="15.75" customHeight="1">
      <c r="A233" s="198"/>
      <c r="B233" s="198"/>
      <c r="C233" s="198"/>
      <c r="D233" s="198"/>
      <c r="E233" s="198"/>
      <c r="F233" s="198"/>
      <c r="G233" s="199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9"/>
      <c r="AA233" s="198"/>
      <c r="AB233" s="198"/>
      <c r="AC233" s="198"/>
      <c r="AD233" s="198"/>
      <c r="AE233" s="198"/>
      <c r="AF233" s="198"/>
      <c r="AG233" s="198"/>
      <c r="AH233" s="198"/>
    </row>
    <row r="234" ht="15.75" customHeight="1">
      <c r="A234" s="198"/>
      <c r="B234" s="198"/>
      <c r="C234" s="198"/>
      <c r="D234" s="198"/>
      <c r="E234" s="198"/>
      <c r="F234" s="198"/>
      <c r="G234" s="199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9"/>
      <c r="AA234" s="198"/>
      <c r="AB234" s="198"/>
      <c r="AC234" s="198"/>
      <c r="AD234" s="198"/>
      <c r="AE234" s="198"/>
      <c r="AF234" s="198"/>
      <c r="AG234" s="198"/>
      <c r="AH234" s="198"/>
    </row>
    <row r="235" ht="15.75" customHeight="1">
      <c r="A235" s="198"/>
      <c r="B235" s="198"/>
      <c r="C235" s="198"/>
      <c r="D235" s="198"/>
      <c r="E235" s="198"/>
      <c r="F235" s="198"/>
      <c r="G235" s="199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9"/>
      <c r="AA235" s="198"/>
      <c r="AB235" s="198"/>
      <c r="AC235" s="198"/>
      <c r="AD235" s="198"/>
      <c r="AE235" s="198"/>
      <c r="AF235" s="198"/>
      <c r="AG235" s="198"/>
      <c r="AH235" s="198"/>
    </row>
    <row r="236" ht="15.75" customHeight="1">
      <c r="A236" s="198"/>
      <c r="B236" s="198"/>
      <c r="C236" s="198"/>
      <c r="D236" s="198"/>
      <c r="E236" s="198"/>
      <c r="F236" s="198"/>
      <c r="G236" s="199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9"/>
      <c r="AA236" s="198"/>
      <c r="AB236" s="198"/>
      <c r="AC236" s="198"/>
      <c r="AD236" s="198"/>
      <c r="AE236" s="198"/>
      <c r="AF236" s="198"/>
      <c r="AG236" s="198"/>
      <c r="AH236" s="198"/>
    </row>
    <row r="237" ht="15.75" customHeight="1">
      <c r="A237" s="198"/>
      <c r="B237" s="198"/>
      <c r="C237" s="198"/>
      <c r="D237" s="198"/>
      <c r="E237" s="198"/>
      <c r="F237" s="198"/>
      <c r="G237" s="199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9"/>
      <c r="AA237" s="198"/>
      <c r="AB237" s="198"/>
      <c r="AC237" s="198"/>
      <c r="AD237" s="198"/>
      <c r="AE237" s="198"/>
      <c r="AF237" s="198"/>
      <c r="AG237" s="198"/>
      <c r="AH237" s="198"/>
    </row>
    <row r="238" ht="15.75" customHeight="1">
      <c r="A238" s="198"/>
      <c r="B238" s="198"/>
      <c r="C238" s="198"/>
      <c r="D238" s="198"/>
      <c r="E238" s="198"/>
      <c r="F238" s="198"/>
      <c r="G238" s="199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9"/>
      <c r="AA238" s="198"/>
      <c r="AB238" s="198"/>
      <c r="AC238" s="198"/>
      <c r="AD238" s="198"/>
      <c r="AE238" s="198"/>
      <c r="AF238" s="198"/>
      <c r="AG238" s="198"/>
      <c r="AH238" s="198"/>
    </row>
    <row r="239" ht="15.75" customHeight="1">
      <c r="A239" s="198"/>
      <c r="B239" s="198"/>
      <c r="C239" s="198"/>
      <c r="D239" s="198"/>
      <c r="E239" s="198"/>
      <c r="F239" s="198"/>
      <c r="G239" s="199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9"/>
      <c r="AA239" s="198"/>
      <c r="AB239" s="198"/>
      <c r="AC239" s="198"/>
      <c r="AD239" s="198"/>
      <c r="AE239" s="198"/>
      <c r="AF239" s="198"/>
      <c r="AG239" s="198"/>
      <c r="AH239" s="198"/>
    </row>
    <row r="240" ht="15.75" customHeight="1">
      <c r="A240" s="198"/>
      <c r="B240" s="198"/>
      <c r="C240" s="198"/>
      <c r="D240" s="198"/>
      <c r="E240" s="198"/>
      <c r="F240" s="198"/>
      <c r="G240" s="199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  <c r="X240" s="198"/>
      <c r="Y240" s="198"/>
      <c r="Z240" s="199"/>
      <c r="AA240" s="198"/>
      <c r="AB240" s="198"/>
      <c r="AC240" s="198"/>
      <c r="AD240" s="198"/>
      <c r="AE240" s="198"/>
      <c r="AF240" s="198"/>
      <c r="AG240" s="198"/>
      <c r="AH240" s="198"/>
    </row>
    <row r="241" ht="15.75" customHeight="1">
      <c r="A241" s="198"/>
      <c r="B241" s="198"/>
      <c r="C241" s="198"/>
      <c r="D241" s="198"/>
      <c r="E241" s="198"/>
      <c r="F241" s="198"/>
      <c r="G241" s="199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  <c r="X241" s="198"/>
      <c r="Y241" s="198"/>
      <c r="Z241" s="199"/>
      <c r="AA241" s="198"/>
      <c r="AB241" s="198"/>
      <c r="AC241" s="198"/>
      <c r="AD241" s="198"/>
      <c r="AE241" s="198"/>
      <c r="AF241" s="198"/>
      <c r="AG241" s="198"/>
      <c r="AH241" s="198"/>
    </row>
    <row r="242" ht="15.75" customHeight="1">
      <c r="A242" s="198"/>
      <c r="B242" s="198"/>
      <c r="C242" s="198"/>
      <c r="D242" s="198"/>
      <c r="E242" s="198"/>
      <c r="F242" s="198"/>
      <c r="G242" s="199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9"/>
      <c r="AA242" s="198"/>
      <c r="AB242" s="198"/>
      <c r="AC242" s="198"/>
      <c r="AD242" s="198"/>
      <c r="AE242" s="198"/>
      <c r="AF242" s="198"/>
      <c r="AG242" s="198"/>
      <c r="AH242" s="198"/>
    </row>
    <row r="243" ht="15.75" customHeight="1">
      <c r="A243" s="198"/>
      <c r="B243" s="198"/>
      <c r="C243" s="198"/>
      <c r="D243" s="198"/>
      <c r="E243" s="198"/>
      <c r="F243" s="198"/>
      <c r="G243" s="199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9"/>
      <c r="AA243" s="198"/>
      <c r="AB243" s="198"/>
      <c r="AC243" s="198"/>
      <c r="AD243" s="198"/>
      <c r="AE243" s="198"/>
      <c r="AF243" s="198"/>
      <c r="AG243" s="198"/>
      <c r="AH243" s="198"/>
    </row>
    <row r="244" ht="15.75" customHeight="1">
      <c r="A244" s="198"/>
      <c r="B244" s="198"/>
      <c r="C244" s="198"/>
      <c r="D244" s="198"/>
      <c r="E244" s="198"/>
      <c r="F244" s="198"/>
      <c r="G244" s="199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  <c r="X244" s="198"/>
      <c r="Y244" s="198"/>
      <c r="Z244" s="199"/>
      <c r="AA244" s="198"/>
      <c r="AB244" s="198"/>
      <c r="AC244" s="198"/>
      <c r="AD244" s="198"/>
      <c r="AE244" s="198"/>
      <c r="AF244" s="198"/>
      <c r="AG244" s="198"/>
      <c r="AH244" s="198"/>
    </row>
    <row r="245" ht="15.75" customHeight="1">
      <c r="A245" s="198"/>
      <c r="B245" s="198"/>
      <c r="C245" s="198"/>
      <c r="D245" s="198"/>
      <c r="E245" s="198"/>
      <c r="F245" s="198"/>
      <c r="G245" s="199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9"/>
      <c r="AA245" s="198"/>
      <c r="AB245" s="198"/>
      <c r="AC245" s="198"/>
      <c r="AD245" s="198"/>
      <c r="AE245" s="198"/>
      <c r="AF245" s="198"/>
      <c r="AG245" s="198"/>
      <c r="AH245" s="198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24">
    <mergeCell ref="N2:R2"/>
    <mergeCell ref="M4:R4"/>
    <mergeCell ref="M5:R5"/>
    <mergeCell ref="A1:B1"/>
    <mergeCell ref="C1:D1"/>
    <mergeCell ref="E1:M1"/>
    <mergeCell ref="N1:R1"/>
    <mergeCell ref="C2:D2"/>
    <mergeCell ref="E2:M2"/>
    <mergeCell ref="C3:R3"/>
    <mergeCell ref="C5:D5"/>
    <mergeCell ref="E5:I5"/>
    <mergeCell ref="B35:D35"/>
    <mergeCell ref="B42:D42"/>
    <mergeCell ref="B43:D43"/>
    <mergeCell ref="B44:D44"/>
    <mergeCell ref="B45:D45"/>
    <mergeCell ref="A2:B2"/>
    <mergeCell ref="A3:B3"/>
    <mergeCell ref="A4:B4"/>
    <mergeCell ref="C4:D4"/>
    <mergeCell ref="E4:I4"/>
    <mergeCell ref="J4:L4"/>
    <mergeCell ref="A5:B5"/>
  </mergeCells>
  <dataValidations>
    <dataValidation type="list" allowBlank="1" showInputMessage="1" showErrorMessage="1" prompt=" - " sqref="E43:I43">
      <formula1>"P,F"</formula1>
    </dataValidation>
    <dataValidation type="list" allowBlank="1" showInputMessage="1" showErrorMessage="1" prompt=" - " sqref="E8:I41">
      <formula1>"O"</formula1>
    </dataValidation>
    <dataValidation type="list" allowBlank="1" showInputMessage="1" showErrorMessage="1" prompt=" - " sqref="E42:I42">
      <formula1>"N,A,B"</formula1>
    </dataValidation>
  </dataValidations>
  <drawing r:id="rId1"/>
</worksheet>
</file>